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yr\Yandex.Disk\EGTS\"/>
    </mc:Choice>
  </mc:AlternateContent>
  <xr:revisionPtr revIDLastSave="0" documentId="13_ncr:1_{7379B3C5-8202-4A55-8043-2CB7C027D6D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📖 ИНСТРУКЦИЯ" sheetId="1" r:id="rId1"/>
    <sheet name="🔍 РАЗБОР_ПАКЕТА" sheetId="2" r:id="rId2"/>
    <sheet name="📡 SR_POS_DATA" sheetId="3" r:id="rId3"/>
    <sheet name="📊 SDR_ЗАПИСЬ" sheetId="4" r:id="rId4"/>
    <sheet name="📚 СПРАВОЧНИК" sheetId="5" r:id="rId5"/>
    <sheet name="🛰 SR_EXT_POS_DATA" sheetId="6" r:id="rId6"/>
    <sheet name="🔋 SR_STATE_DATA" sheetId="7" r:id="rId7"/>
    <sheet name="🎛 SR_AD_SENSORS" sheetId="8" r:id="rId8"/>
    <sheet name="🔢 SR_COUNTERS_DATA" sheetId="9" r:id="rId9"/>
    <sheet name="⛽ SR_LIQUID_LEVEL" sheetId="10" r:id="rId10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0" l="1"/>
  <c r="E37" i="10" s="1"/>
  <c r="D36" i="10"/>
  <c r="E36" i="10" s="1"/>
  <c r="D35" i="10"/>
  <c r="D34" i="10"/>
  <c r="E34" i="10" s="1"/>
  <c r="D33" i="10"/>
  <c r="E33" i="10" s="1"/>
  <c r="D32" i="10"/>
  <c r="E32" i="10" s="1"/>
  <c r="D31" i="10"/>
  <c r="E31" i="10" s="1"/>
  <c r="H6" i="10"/>
  <c r="B4" i="10"/>
  <c r="D65" i="9"/>
  <c r="E65" i="9" s="1"/>
  <c r="D64" i="9"/>
  <c r="E64" i="9" s="1"/>
  <c r="E63" i="9"/>
  <c r="D63" i="9"/>
  <c r="D62" i="9"/>
  <c r="E62" i="9" s="1"/>
  <c r="D61" i="9"/>
  <c r="E61" i="9" s="1"/>
  <c r="D60" i="9"/>
  <c r="E60" i="9" s="1"/>
  <c r="D59" i="9"/>
  <c r="E59" i="9" s="1"/>
  <c r="D58" i="9"/>
  <c r="E58" i="9" s="1"/>
  <c r="D57" i="9"/>
  <c r="E57" i="9" s="1"/>
  <c r="E56" i="9"/>
  <c r="D56" i="9"/>
  <c r="D55" i="9"/>
  <c r="E55" i="9" s="1"/>
  <c r="D54" i="9"/>
  <c r="E54" i="9" s="1"/>
  <c r="D53" i="9"/>
  <c r="E53" i="9" s="1"/>
  <c r="D52" i="9"/>
  <c r="E52" i="9" s="1"/>
  <c r="E51" i="9"/>
  <c r="D51" i="9"/>
  <c r="D50" i="9"/>
  <c r="E50" i="9" s="1"/>
  <c r="D49" i="9"/>
  <c r="E49" i="9" s="1"/>
  <c r="D48" i="9"/>
  <c r="E48" i="9" s="1"/>
  <c r="E47" i="9"/>
  <c r="D47" i="9"/>
  <c r="E46" i="9"/>
  <c r="D46" i="9"/>
  <c r="D45" i="9"/>
  <c r="E45" i="9" s="1"/>
  <c r="D44" i="9"/>
  <c r="E44" i="9" s="1"/>
  <c r="E43" i="9"/>
  <c r="D43" i="9"/>
  <c r="E42" i="9"/>
  <c r="D42" i="9"/>
  <c r="D41" i="9"/>
  <c r="E41" i="9" s="1"/>
  <c r="H6" i="9"/>
  <c r="B4" i="9"/>
  <c r="D84" i="8"/>
  <c r="E84" i="8" s="1"/>
  <c r="D83" i="8"/>
  <c r="E83" i="8" s="1"/>
  <c r="D82" i="8"/>
  <c r="E82" i="8" s="1"/>
  <c r="D81" i="8"/>
  <c r="E81" i="8" s="1"/>
  <c r="D80" i="8"/>
  <c r="E80" i="8" s="1"/>
  <c r="D79" i="8"/>
  <c r="E79" i="8" s="1"/>
  <c r="D78" i="8"/>
  <c r="E78" i="8" s="1"/>
  <c r="D77" i="8"/>
  <c r="E77" i="8" s="1"/>
  <c r="D76" i="8"/>
  <c r="E76" i="8" s="1"/>
  <c r="D75" i="8"/>
  <c r="E75" i="8" s="1"/>
  <c r="D74" i="8"/>
  <c r="E74" i="8" s="1"/>
  <c r="D73" i="8"/>
  <c r="E73" i="8" s="1"/>
  <c r="D72" i="8"/>
  <c r="E72" i="8" s="1"/>
  <c r="D71" i="8"/>
  <c r="E71" i="8" s="1"/>
  <c r="D70" i="8"/>
  <c r="E70" i="8" s="1"/>
  <c r="D69" i="8"/>
  <c r="E69" i="8" s="1"/>
  <c r="D68" i="8"/>
  <c r="E68" i="8" s="1"/>
  <c r="D67" i="8"/>
  <c r="E67" i="8" s="1"/>
  <c r="D66" i="8"/>
  <c r="E66" i="8" s="1"/>
  <c r="D65" i="8"/>
  <c r="E65" i="8" s="1"/>
  <c r="D64" i="8"/>
  <c r="E64" i="8" s="1"/>
  <c r="D63" i="8"/>
  <c r="E63" i="8" s="1"/>
  <c r="D62" i="8"/>
  <c r="E62" i="8" s="1"/>
  <c r="D61" i="8"/>
  <c r="E61" i="8" s="1"/>
  <c r="E60" i="8"/>
  <c r="D60" i="8"/>
  <c r="D59" i="8"/>
  <c r="E59" i="8" s="1"/>
  <c r="D58" i="8"/>
  <c r="E58" i="8" s="1"/>
  <c r="D57" i="8"/>
  <c r="E57" i="8" s="1"/>
  <c r="D56" i="8"/>
  <c r="E56" i="8" s="1"/>
  <c r="D55" i="8"/>
  <c r="E55" i="8" s="1"/>
  <c r="D54" i="8"/>
  <c r="E54" i="8" s="1"/>
  <c r="D53" i="8"/>
  <c r="E53" i="8" s="1"/>
  <c r="D52" i="8"/>
  <c r="E52" i="8" s="1"/>
  <c r="D51" i="8"/>
  <c r="E51" i="8" s="1"/>
  <c r="E16" i="8" s="1"/>
  <c r="G16" i="8" s="1"/>
  <c r="H16" i="8" s="1"/>
  <c r="D50" i="8"/>
  <c r="D6" i="8" s="1"/>
  <c r="H18" i="8"/>
  <c r="D18" i="8"/>
  <c r="D16" i="8"/>
  <c r="H6" i="8"/>
  <c r="B4" i="8"/>
  <c r="D34" i="7"/>
  <c r="E34" i="7" s="1"/>
  <c r="E33" i="7"/>
  <c r="E9" i="7" s="1"/>
  <c r="H9" i="7" s="1"/>
  <c r="D33" i="7"/>
  <c r="D9" i="7" s="1"/>
  <c r="E32" i="7"/>
  <c r="D32" i="7"/>
  <c r="D8" i="7" s="1"/>
  <c r="D31" i="7"/>
  <c r="E31" i="7" s="1"/>
  <c r="E7" i="7" s="1"/>
  <c r="H7" i="7" s="1"/>
  <c r="D30" i="7"/>
  <c r="D6" i="7" s="1"/>
  <c r="H10" i="7"/>
  <c r="E8" i="7"/>
  <c r="H8" i="7" s="1"/>
  <c r="B4" i="7"/>
  <c r="D49" i="6"/>
  <c r="E49" i="6" s="1"/>
  <c r="D48" i="6"/>
  <c r="E48" i="6" s="1"/>
  <c r="E47" i="6"/>
  <c r="D47" i="6"/>
  <c r="D46" i="6"/>
  <c r="E46" i="6" s="1"/>
  <c r="D45" i="6"/>
  <c r="E45" i="6" s="1"/>
  <c r="D44" i="6"/>
  <c r="E44" i="6" s="1"/>
  <c r="D43" i="6"/>
  <c r="E43" i="6" s="1"/>
  <c r="D42" i="6"/>
  <c r="E42" i="6" s="1"/>
  <c r="D41" i="6"/>
  <c r="E41" i="6" s="1"/>
  <c r="D40" i="6"/>
  <c r="E40" i="6" s="1"/>
  <c r="B4" i="6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14" i="4"/>
  <c r="H14" i="4" s="1"/>
  <c r="D14" i="4"/>
  <c r="C14" i="4"/>
  <c r="E13" i="4"/>
  <c r="G13" i="4" s="1"/>
  <c r="D13" i="4"/>
  <c r="C13" i="4"/>
  <c r="D11" i="4"/>
  <c r="H8" i="4"/>
  <c r="E8" i="4"/>
  <c r="G8" i="4" s="1"/>
  <c r="D8" i="4"/>
  <c r="E7" i="4"/>
  <c r="H7" i="4" s="1"/>
  <c r="D7" i="4"/>
  <c r="E6" i="4"/>
  <c r="H6" i="4" s="1"/>
  <c r="D6" i="4"/>
  <c r="B4" i="4"/>
  <c r="E350" i="2"/>
  <c r="F350" i="2" s="1"/>
  <c r="G350" i="2" s="1"/>
  <c r="E349" i="2"/>
  <c r="F349" i="2" s="1"/>
  <c r="G349" i="2" s="1"/>
  <c r="E348" i="2"/>
  <c r="F348" i="2" s="1"/>
  <c r="G348" i="2" s="1"/>
  <c r="E347" i="2"/>
  <c r="F347" i="2" s="1"/>
  <c r="G347" i="2" s="1"/>
  <c r="E346" i="2"/>
  <c r="F346" i="2" s="1"/>
  <c r="G346" i="2" s="1"/>
  <c r="E345" i="2"/>
  <c r="F345" i="2" s="1"/>
  <c r="G345" i="2" s="1"/>
  <c r="E344" i="2"/>
  <c r="F344" i="2" s="1"/>
  <c r="G344" i="2" s="1"/>
  <c r="E343" i="2"/>
  <c r="F343" i="2" s="1"/>
  <c r="G343" i="2" s="1"/>
  <c r="E342" i="2"/>
  <c r="F342" i="2" s="1"/>
  <c r="G342" i="2" s="1"/>
  <c r="E341" i="2"/>
  <c r="F341" i="2" s="1"/>
  <c r="G341" i="2" s="1"/>
  <c r="E340" i="2"/>
  <c r="F340" i="2" s="1"/>
  <c r="G340" i="2" s="1"/>
  <c r="E339" i="2"/>
  <c r="F339" i="2" s="1"/>
  <c r="G339" i="2" s="1"/>
  <c r="E338" i="2"/>
  <c r="F338" i="2" s="1"/>
  <c r="G338" i="2" s="1"/>
  <c r="E337" i="2"/>
  <c r="F337" i="2" s="1"/>
  <c r="G337" i="2" s="1"/>
  <c r="E336" i="2"/>
  <c r="F336" i="2" s="1"/>
  <c r="G336" i="2" s="1"/>
  <c r="E335" i="2"/>
  <c r="F335" i="2" s="1"/>
  <c r="G335" i="2" s="1"/>
  <c r="E334" i="2"/>
  <c r="F334" i="2" s="1"/>
  <c r="G334" i="2" s="1"/>
  <c r="E333" i="2"/>
  <c r="F333" i="2" s="1"/>
  <c r="G333" i="2" s="1"/>
  <c r="E332" i="2"/>
  <c r="F332" i="2" s="1"/>
  <c r="G332" i="2" s="1"/>
  <c r="E331" i="2"/>
  <c r="F331" i="2" s="1"/>
  <c r="G331" i="2" s="1"/>
  <c r="E330" i="2"/>
  <c r="F330" i="2" s="1"/>
  <c r="G330" i="2" s="1"/>
  <c r="E329" i="2"/>
  <c r="F329" i="2" s="1"/>
  <c r="G329" i="2" s="1"/>
  <c r="E328" i="2"/>
  <c r="F328" i="2" s="1"/>
  <c r="G328" i="2" s="1"/>
  <c r="E327" i="2"/>
  <c r="F327" i="2" s="1"/>
  <c r="G327" i="2" s="1"/>
  <c r="E326" i="2"/>
  <c r="F326" i="2" s="1"/>
  <c r="G326" i="2" s="1"/>
  <c r="E325" i="2"/>
  <c r="F325" i="2" s="1"/>
  <c r="G325" i="2" s="1"/>
  <c r="E324" i="2"/>
  <c r="F324" i="2" s="1"/>
  <c r="G324" i="2" s="1"/>
  <c r="E323" i="2"/>
  <c r="F323" i="2" s="1"/>
  <c r="G323" i="2" s="1"/>
  <c r="E322" i="2"/>
  <c r="F322" i="2" s="1"/>
  <c r="G322" i="2" s="1"/>
  <c r="E321" i="2"/>
  <c r="F321" i="2" s="1"/>
  <c r="G321" i="2" s="1"/>
  <c r="E320" i="2"/>
  <c r="F320" i="2" s="1"/>
  <c r="G320" i="2" s="1"/>
  <c r="E319" i="2"/>
  <c r="F319" i="2" s="1"/>
  <c r="G319" i="2" s="1"/>
  <c r="E318" i="2"/>
  <c r="F318" i="2" s="1"/>
  <c r="G318" i="2" s="1"/>
  <c r="E317" i="2"/>
  <c r="F317" i="2" s="1"/>
  <c r="G317" i="2" s="1"/>
  <c r="E316" i="2"/>
  <c r="F316" i="2" s="1"/>
  <c r="G316" i="2" s="1"/>
  <c r="E315" i="2"/>
  <c r="F315" i="2" s="1"/>
  <c r="G315" i="2" s="1"/>
  <c r="E314" i="2"/>
  <c r="F314" i="2" s="1"/>
  <c r="G314" i="2" s="1"/>
  <c r="E313" i="2"/>
  <c r="F313" i="2" s="1"/>
  <c r="G313" i="2" s="1"/>
  <c r="E312" i="2"/>
  <c r="F312" i="2" s="1"/>
  <c r="G312" i="2" s="1"/>
  <c r="E311" i="2"/>
  <c r="F311" i="2" s="1"/>
  <c r="G311" i="2" s="1"/>
  <c r="E310" i="2"/>
  <c r="F310" i="2" s="1"/>
  <c r="E309" i="2"/>
  <c r="F309" i="2" s="1"/>
  <c r="E308" i="2"/>
  <c r="D20" i="2" s="1"/>
  <c r="F307" i="2"/>
  <c r="G307" i="2" s="1"/>
  <c r="E307" i="2"/>
  <c r="E306" i="2"/>
  <c r="F306" i="2" s="1"/>
  <c r="G306" i="2" s="1"/>
  <c r="E305" i="2"/>
  <c r="D18" i="2" s="1"/>
  <c r="E304" i="2"/>
  <c r="F304" i="2" s="1"/>
  <c r="E303" i="2"/>
  <c r="D11" i="2" s="1"/>
  <c r="E302" i="2"/>
  <c r="F302" i="2" s="1"/>
  <c r="E301" i="2"/>
  <c r="D9" i="2" s="1"/>
  <c r="D38" i="2"/>
  <c r="D19" i="2"/>
  <c r="H16" i="2"/>
  <c r="D16" i="2"/>
  <c r="H15" i="2"/>
  <c r="D15" i="2"/>
  <c r="H14" i="2"/>
  <c r="D14" i="2"/>
  <c r="H13" i="2"/>
  <c r="D13" i="2"/>
  <c r="F12" i="2"/>
  <c r="D12" i="2"/>
  <c r="B5" i="2"/>
  <c r="C28" i="3"/>
  <c r="H24" i="3"/>
  <c r="G24" i="3"/>
  <c r="E24" i="3"/>
  <c r="D24" i="3"/>
  <c r="H23" i="3"/>
  <c r="G23" i="3"/>
  <c r="E23" i="3"/>
  <c r="D23" i="3"/>
  <c r="H22" i="3"/>
  <c r="G22" i="3"/>
  <c r="E22" i="3"/>
  <c r="D22" i="3"/>
  <c r="H21" i="3"/>
  <c r="G21" i="3"/>
  <c r="E21" i="3"/>
  <c r="D21" i="3"/>
  <c r="H20" i="3"/>
  <c r="G20" i="3"/>
  <c r="E20" i="3"/>
  <c r="D20" i="3"/>
  <c r="H19" i="3"/>
  <c r="G19" i="3"/>
  <c r="E19" i="3"/>
  <c r="D19" i="3"/>
  <c r="H18" i="3"/>
  <c r="G18" i="3"/>
  <c r="E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G9" i="3"/>
  <c r="E9" i="3"/>
  <c r="D9" i="3"/>
  <c r="H8" i="3"/>
  <c r="G8" i="3"/>
  <c r="E8" i="3"/>
  <c r="D8" i="3"/>
  <c r="H7" i="3"/>
  <c r="G7" i="3"/>
  <c r="E7" i="3"/>
  <c r="D7" i="3"/>
  <c r="H6" i="3"/>
  <c r="G6" i="3"/>
  <c r="E6" i="3"/>
  <c r="D6" i="3"/>
  <c r="D23" i="8" l="1"/>
  <c r="D22" i="8"/>
  <c r="D21" i="8"/>
  <c r="H21" i="8" s="1"/>
  <c r="D20" i="8"/>
  <c r="D19" i="8"/>
  <c r="D26" i="8"/>
  <c r="H26" i="8" s="1"/>
  <c r="D25" i="8"/>
  <c r="H25" i="8" s="1"/>
  <c r="D24" i="8"/>
  <c r="H24" i="8" s="1"/>
  <c r="E18" i="8"/>
  <c r="G18" i="8" s="1"/>
  <c r="D12" i="7"/>
  <c r="H12" i="7" s="1"/>
  <c r="E10" i="7"/>
  <c r="G10" i="7" s="1"/>
  <c r="F305" i="2"/>
  <c r="H18" i="2" s="1"/>
  <c r="D10" i="7"/>
  <c r="H19" i="2"/>
  <c r="H13" i="4"/>
  <c r="D10" i="2"/>
  <c r="D9" i="4"/>
  <c r="E30" i="7"/>
  <c r="E6" i="7" s="1"/>
  <c r="H6" i="7" s="1"/>
  <c r="D6" i="9"/>
  <c r="D10" i="4"/>
  <c r="C17" i="4" s="1"/>
  <c r="D13" i="10"/>
  <c r="D7" i="7"/>
  <c r="D17" i="2"/>
  <c r="D12" i="10"/>
  <c r="E12" i="10"/>
  <c r="H12" i="10" s="1"/>
  <c r="D9" i="6"/>
  <c r="D8" i="6"/>
  <c r="D11" i="6"/>
  <c r="D7" i="6"/>
  <c r="D10" i="6"/>
  <c r="G302" i="2"/>
  <c r="F10" i="2" s="1"/>
  <c r="H10" i="2"/>
  <c r="E10" i="2"/>
  <c r="D8" i="10"/>
  <c r="H8" i="10" s="1"/>
  <c r="D7" i="10"/>
  <c r="H7" i="10" s="1"/>
  <c r="D10" i="10"/>
  <c r="H10" i="10" s="1"/>
  <c r="E6" i="10"/>
  <c r="G6" i="10" s="1"/>
  <c r="D9" i="10"/>
  <c r="H9" i="10" s="1"/>
  <c r="H17" i="2"/>
  <c r="G304" i="2"/>
  <c r="F17" i="2" s="1"/>
  <c r="E5" i="2"/>
  <c r="E25" i="2"/>
  <c r="E17" i="2"/>
  <c r="D25" i="2"/>
  <c r="C25" i="2"/>
  <c r="G309" i="2"/>
  <c r="H20" i="2"/>
  <c r="D12" i="9"/>
  <c r="D8" i="9"/>
  <c r="D11" i="9"/>
  <c r="D7" i="9"/>
  <c r="D14" i="9"/>
  <c r="D10" i="9"/>
  <c r="E6" i="9"/>
  <c r="G6" i="9" s="1"/>
  <c r="D13" i="9"/>
  <c r="D9" i="9"/>
  <c r="G310" i="2"/>
  <c r="F21" i="2" s="1"/>
  <c r="E31" i="2"/>
  <c r="B30" i="2"/>
  <c r="D31" i="2"/>
  <c r="B29" i="2"/>
  <c r="C31" i="2"/>
  <c r="H21" i="2"/>
  <c r="B31" i="2"/>
  <c r="H30" i="2"/>
  <c r="E21" i="2"/>
  <c r="E30" i="2"/>
  <c r="C30" i="2"/>
  <c r="H31" i="2"/>
  <c r="D30" i="2"/>
  <c r="F31" i="2"/>
  <c r="E13" i="10"/>
  <c r="H13" i="10" s="1"/>
  <c r="E18" i="2"/>
  <c r="H11" i="4"/>
  <c r="D6" i="10"/>
  <c r="G305" i="2"/>
  <c r="F18" i="2" s="1"/>
  <c r="F308" i="2"/>
  <c r="G308" i="2" s="1"/>
  <c r="D21" i="2"/>
  <c r="F303" i="2"/>
  <c r="G14" i="4"/>
  <c r="E17" i="4"/>
  <c r="H17" i="4" s="1"/>
  <c r="D13" i="7"/>
  <c r="H13" i="7" s="1"/>
  <c r="H22" i="8"/>
  <c r="C16" i="4"/>
  <c r="C18" i="4"/>
  <c r="H19" i="8"/>
  <c r="H23" i="8"/>
  <c r="E50" i="8"/>
  <c r="E35" i="10"/>
  <c r="F301" i="2"/>
  <c r="E19" i="2"/>
  <c r="H9" i="4"/>
  <c r="D16" i="4"/>
  <c r="D18" i="4"/>
  <c r="E18" i="4"/>
  <c r="H18" i="4" s="1"/>
  <c r="D11" i="7"/>
  <c r="H11" i="7" s="1"/>
  <c r="H20" i="8"/>
  <c r="H10" i="4"/>
  <c r="D17" i="4" l="1"/>
  <c r="D19" i="4"/>
  <c r="H19" i="4" s="1"/>
  <c r="E16" i="4"/>
  <c r="H16" i="4" s="1"/>
  <c r="E17" i="9"/>
  <c r="H17" i="9" s="1"/>
  <c r="D17" i="9"/>
  <c r="C17" i="9"/>
  <c r="H8" i="9"/>
  <c r="E17" i="6"/>
  <c r="H17" i="6" s="1"/>
  <c r="D17" i="6"/>
  <c r="C17" i="6"/>
  <c r="H7" i="6"/>
  <c r="E22" i="9"/>
  <c r="D22" i="9"/>
  <c r="C22" i="9"/>
  <c r="H13" i="9"/>
  <c r="H22" i="9"/>
  <c r="E13" i="6"/>
  <c r="H13" i="6" s="1"/>
  <c r="D13" i="6"/>
  <c r="C13" i="6"/>
  <c r="H11" i="6"/>
  <c r="E11" i="2"/>
  <c r="D24" i="2"/>
  <c r="D22" i="2"/>
  <c r="B24" i="2"/>
  <c r="B22" i="2"/>
  <c r="E24" i="2"/>
  <c r="H23" i="2"/>
  <c r="E23" i="2"/>
  <c r="E22" i="2"/>
  <c r="G303" i="2"/>
  <c r="F11" i="2" s="1"/>
  <c r="D23" i="2"/>
  <c r="H24" i="2"/>
  <c r="B23" i="2"/>
  <c r="F24" i="2"/>
  <c r="H22" i="2"/>
  <c r="H10" i="9"/>
  <c r="E19" i="9"/>
  <c r="H19" i="9" s="1"/>
  <c r="D19" i="9"/>
  <c r="C19" i="9"/>
  <c r="E20" i="2"/>
  <c r="H8" i="6"/>
  <c r="E16" i="6"/>
  <c r="H16" i="6" s="1"/>
  <c r="D16" i="6"/>
  <c r="C16" i="6"/>
  <c r="H14" i="9"/>
  <c r="E23" i="9"/>
  <c r="H23" i="9" s="1"/>
  <c r="D23" i="9"/>
  <c r="C23" i="9"/>
  <c r="H9" i="6"/>
  <c r="E15" i="6"/>
  <c r="H15" i="6" s="1"/>
  <c r="D15" i="6"/>
  <c r="C15" i="6"/>
  <c r="E16" i="9"/>
  <c r="H16" i="9" s="1"/>
  <c r="D16" i="9"/>
  <c r="H7" i="9"/>
  <c r="C16" i="9"/>
  <c r="E18" i="9"/>
  <c r="H18" i="9" s="1"/>
  <c r="D18" i="9"/>
  <c r="C18" i="9"/>
  <c r="H9" i="9"/>
  <c r="E21" i="9"/>
  <c r="H21" i="9" s="1"/>
  <c r="D21" i="9"/>
  <c r="C21" i="9"/>
  <c r="H12" i="9"/>
  <c r="E14" i="6"/>
  <c r="H14" i="6" s="1"/>
  <c r="D14" i="6"/>
  <c r="H10" i="6"/>
  <c r="C14" i="6"/>
  <c r="E9" i="2"/>
  <c r="G301" i="2"/>
  <c r="F9" i="2" s="1"/>
  <c r="H9" i="2"/>
  <c r="E6" i="8"/>
  <c r="G6" i="8" s="1"/>
  <c r="D13" i="8"/>
  <c r="D9" i="8"/>
  <c r="D12" i="8"/>
  <c r="D8" i="8"/>
  <c r="D11" i="8"/>
  <c r="D7" i="8"/>
  <c r="D14" i="8"/>
  <c r="D10" i="8"/>
  <c r="E20" i="9"/>
  <c r="H20" i="9" s="1"/>
  <c r="D20" i="9"/>
  <c r="H11" i="9"/>
  <c r="C20" i="9"/>
  <c r="H13" i="8" l="1"/>
  <c r="E34" i="8"/>
  <c r="G34" i="8" s="1"/>
  <c r="H34" i="8" s="1"/>
  <c r="D34" i="8"/>
  <c r="C34" i="8"/>
  <c r="G28" i="8"/>
  <c r="H28" i="8" s="1"/>
  <c r="E43" i="8"/>
  <c r="H43" i="8" s="1"/>
  <c r="E39" i="8"/>
  <c r="H39" i="8" s="1"/>
  <c r="E28" i="8"/>
  <c r="D28" i="8"/>
  <c r="H7" i="8"/>
  <c r="C43" i="8"/>
  <c r="C39" i="8"/>
  <c r="C28" i="8"/>
  <c r="D42" i="8"/>
  <c r="E41" i="8"/>
  <c r="H41" i="8" s="1"/>
  <c r="C38" i="8"/>
  <c r="C40" i="8"/>
  <c r="C42" i="8"/>
  <c r="D39" i="8"/>
  <c r="E44" i="8"/>
  <c r="H44" i="8" s="1"/>
  <c r="C37" i="8"/>
  <c r="D41" i="8"/>
  <c r="D44" i="8"/>
  <c r="E38" i="8"/>
  <c r="H38" i="8" s="1"/>
  <c r="C44" i="8"/>
  <c r="D37" i="8"/>
  <c r="D40" i="8"/>
  <c r="E40" i="8"/>
  <c r="H40" i="8" s="1"/>
  <c r="E42" i="8"/>
  <c r="H42" i="8" s="1"/>
  <c r="D38" i="8"/>
  <c r="C41" i="8"/>
  <c r="D43" i="8"/>
  <c r="E37" i="8"/>
  <c r="H37" i="8" s="1"/>
  <c r="C29" i="8"/>
  <c r="H8" i="8"/>
  <c r="E29" i="8"/>
  <c r="G29" i="8" s="1"/>
  <c r="H29" i="8" s="1"/>
  <c r="D29" i="8"/>
  <c r="E35" i="8"/>
  <c r="G35" i="8" s="1"/>
  <c r="H35" i="8" s="1"/>
  <c r="D35" i="8"/>
  <c r="C35" i="8"/>
  <c r="H14" i="8"/>
  <c r="D32" i="8"/>
  <c r="C32" i="8"/>
  <c r="H11" i="8"/>
  <c r="E32" i="8"/>
  <c r="G32" i="8" s="1"/>
  <c r="H32" i="8" s="1"/>
  <c r="E33" i="8"/>
  <c r="G33" i="8" s="1"/>
  <c r="H33" i="8" s="1"/>
  <c r="H12" i="8"/>
  <c r="D33" i="8"/>
  <c r="C33" i="8"/>
  <c r="E31" i="8"/>
  <c r="G31" i="8" s="1"/>
  <c r="H31" i="8" s="1"/>
  <c r="D31" i="8"/>
  <c r="C31" i="8"/>
  <c r="H10" i="8"/>
  <c r="H9" i="8"/>
  <c r="E30" i="8"/>
  <c r="G30" i="8" s="1"/>
  <c r="H30" i="8" s="1"/>
  <c r="D30" i="8"/>
  <c r="C30" i="8"/>
</calcChain>
</file>

<file path=xl/sharedStrings.xml><?xml version="1.0" encoding="utf-8"?>
<sst xmlns="http://schemas.openxmlformats.org/spreadsheetml/2006/main" count="878" uniqueCount="581">
  <si>
    <t xml:space="preserve">  🔍 EGTS — Анализатор пакета (разбор по полям)</t>
  </si>
  <si>
    <t>📥 Введите HEX-байты пакета (через пробел):</t>
  </si>
  <si>
    <t>Поле / Флаг</t>
  </si>
  <si>
    <t>Байт №</t>
  </si>
  <si>
    <t>HEX</t>
  </si>
  <si>
    <t>DEC</t>
  </si>
  <si>
    <t>BIN (8 бит)</t>
  </si>
  <si>
    <t>Описание</t>
  </si>
  <si>
    <t>Интерпретация / Значение</t>
  </si>
  <si>
    <t>▶ ТРАНСПОРТНЫЙ ЗАГОЛОВОК (Transport Layer Header)</t>
  </si>
  <si>
    <t>PRV — Protocol Version</t>
  </si>
  <si>
    <t>Версия протокола. Всегда = 0x01 (версия 1). Инкрементируется при изм. структуры заголовка.</t>
  </si>
  <si>
    <t>SKID — Security Key ID</t>
  </si>
  <si>
    <t>Идентификатор ключа шифрования. 0 = без шифрования.</t>
  </si>
  <si>
    <t>PRF — Prefix + Flags</t>
  </si>
  <si>
    <t>Байт флагов. Содержит: префикс (биты 7-6), RTE(5), ENA(4-3), CMP(2), PR(1-0).</t>
  </si>
  <si>
    <t>Сводный байт флагов — см. строки ниже</t>
  </si>
  <si>
    <t xml:space="preserve">  ╠ PRF (биты 7-6)</t>
  </si>
  <si>
    <t>00</t>
  </si>
  <si>
    <t>Префикс заголовка. Всегда = 00 (бинарно).</t>
  </si>
  <si>
    <t>Фиксировано = 00</t>
  </si>
  <si>
    <t xml:space="preserve">  ╠ RTE (бит 5)</t>
  </si>
  <si>
    <t>—</t>
  </si>
  <si>
    <t>Флаг маршрутизации. 1=маршрутизация нужна (+ поля PRA, RCA, TTL); 0=нет</t>
  </si>
  <si>
    <t xml:space="preserve">  ╠ ENA (биты 4-3)</t>
  </si>
  <si>
    <t>Алгоритм шифрования. 00=нет шифрования.</t>
  </si>
  <si>
    <t xml:space="preserve">  ╠ CMP (бит 2)</t>
  </si>
  <si>
    <t>Сжатие данных SFRD. 1=SFRD сжаты; 0=не сжаты.</t>
  </si>
  <si>
    <t xml:space="preserve">  ╚ PR (биты 1-0)</t>
  </si>
  <si>
    <t>Приоритет маршрутизации. 00=наивысший; 01=высокий; 10=средний; 11=низкий</t>
  </si>
  <si>
    <t>HL — Header Length</t>
  </si>
  <si>
    <t>Длина заголовка транспортного уровня в байтах (включая HCS). 11 без маршрутизации, 16 с RTE=1.</t>
  </si>
  <si>
    <t>HE — Header Encoding</t>
  </si>
  <si>
    <t>Метод кодирования следующей части заголовка после этого поля. 0 = без кодирования.</t>
  </si>
  <si>
    <t>FDL — Frame Data Length</t>
  </si>
  <si>
    <t>6-7</t>
  </si>
  <si>
    <t>Размер поля данных SFRD в байтах (USHORT, little-endian). 0 если нет SFRD.</t>
  </si>
  <si>
    <t>PID — Packet Identifier</t>
  </si>
  <si>
    <t>8-9</t>
  </si>
  <si>
    <t>Номер пакета (0..65535, циклический счётчик). Инкрементируется с каждым пакетом.</t>
  </si>
  <si>
    <t>PT — Packet Type</t>
  </si>
  <si>
    <t>10</t>
  </si>
  <si>
    <t>Тип пакета: 0=RESPONSE, 1=APPDATA, 2=SIGNED_APPDATA</t>
  </si>
  <si>
    <t>11-12</t>
  </si>
  <si>
    <t>Адрес АПК-источника пакета (опционально, только при RTE=1, USHORT LE).</t>
  </si>
  <si>
    <t>13-14</t>
  </si>
  <si>
    <t>Адрес АПК-получателя пакета (опционально, только при RTE=1, USHORT LE).</t>
  </si>
  <si>
    <t>15</t>
  </si>
  <si>
    <t>Время жизни пакета при маршрутизации (декрементируется на каждом АПК, при 0 — уничтожается).</t>
  </si>
  <si>
    <t>HCS — Header Check Sum</t>
  </si>
  <si>
    <t>Контрольная сумма заголовка CRC-8 (от PRV до байта перед HCS). Poly=0x31, Init=0xFF.</t>
  </si>
  <si>
    <t>⚙️ Проверка CRC-8 требует внешнего вычисления (VBA/Python). Значение: см. DEC выше.</t>
  </si>
  <si>
    <t>▶ ТЕЛО SFRD (Services Frame Data) — Данные уровня поддержки услуг</t>
  </si>
  <si>
    <t>📌 ПРИМЕЧАНИЕ: Структура SFRD зависит от типа пакета PT.</t>
  </si>
  <si>
    <t>[RESPONSE] Идентификатор подтверждаемого пакета (USHORT LE).</t>
  </si>
  <si>
    <t>[RESPONSE] Код результата обработки. 0=EGTS_PC_OK. Полный список — лист СПРАВОЧНИК.</t>
  </si>
  <si>
    <t>▶ SDR ЗАПИСЬ 1 (Service Data Record) — разбор первых полей</t>
  </si>
  <si>
    <t>Поле SDR</t>
  </si>
  <si>
    <t>BIN</t>
  </si>
  <si>
    <t>Значение</t>
  </si>
  <si>
    <t>RL — Record Length</t>
  </si>
  <si>
    <t>RL(2 байта LE)</t>
  </si>
  <si>
    <t>→ см. лист SDR_ЗАПИСЬ</t>
  </si>
  <si>
    <t>Размер данных RD в байтах (USHORT LE). Определяет длину подзаписей.</t>
  </si>
  <si>
    <t>RN — Record Number</t>
  </si>
  <si>
    <t>RN(2 байта LE)</t>
  </si>
  <si>
    <t>Номер записи (0..65535, циклический). Используется для подтверждения записи.</t>
  </si>
  <si>
    <t>RFL — Record Flags</t>
  </si>
  <si>
    <t>1 байт</t>
  </si>
  <si>
    <t>Байт флагов записи: SSOD(7) RSOD(6) GRP(5) RPP(4-3) TMFE(2) EVFE(1) OBFE(0)</t>
  </si>
  <si>
    <t>📌 Для детального разбора SDR-записи и подзаписей:</t>
  </si>
  <si>
    <t>▶ SFRCS — Контрольная сумма SFRD (CRC-16 CCITT)</t>
  </si>
  <si>
    <t>SFRCS — Services Frame Data Check Sum</t>
  </si>
  <si>
    <t>последние 2 байта</t>
  </si>
  <si>
    <t>CRC-16 CCITT по всем байтам SFRD. Poly=0x1021, Init=0xFFFF. Присутствует только при FDL&gt;0.</t>
  </si>
  <si>
    <t>⚙️ Проверка CRC-16 — лист СПРАВОЧНИК, раздел CRC.</t>
  </si>
  <si>
    <t xml:space="preserve"> ВСПОМОГАТЕЛЬНЫЕ ДАННЫЕ</t>
  </si>
  <si>
    <t>Байт 1</t>
  </si>
  <si>
    <t>Байт 2</t>
  </si>
  <si>
    <t>Байт 3</t>
  </si>
  <si>
    <t>Байт 4</t>
  </si>
  <si>
    <t>Байт 5</t>
  </si>
  <si>
    <t>Байт 6</t>
  </si>
  <si>
    <t>Байт 7</t>
  </si>
  <si>
    <t>Байт 8</t>
  </si>
  <si>
    <t>Байт 9</t>
  </si>
  <si>
    <t>Байт 10</t>
  </si>
  <si>
    <t>Байт 11</t>
  </si>
  <si>
    <t>Байт 12</t>
  </si>
  <si>
    <t>Байт 13</t>
  </si>
  <si>
    <t>Байт 14</t>
  </si>
  <si>
    <t>Байт 15</t>
  </si>
  <si>
    <t>Байт 16</t>
  </si>
  <si>
    <t>Байт 17</t>
  </si>
  <si>
    <t>Байт 18</t>
  </si>
  <si>
    <t>Байт 19</t>
  </si>
  <si>
    <t>Байт 20</t>
  </si>
  <si>
    <t>Байт 21</t>
  </si>
  <si>
    <t>Байт 22</t>
  </si>
  <si>
    <t>Байт 23</t>
  </si>
  <si>
    <t>Байт 24</t>
  </si>
  <si>
    <t>Байт 25</t>
  </si>
  <si>
    <t>Байт 26</t>
  </si>
  <si>
    <t>Байт 27</t>
  </si>
  <si>
    <t>Байт 28</t>
  </si>
  <si>
    <t>Байт 29</t>
  </si>
  <si>
    <t>Байт 30</t>
  </si>
  <si>
    <t>Байт 31</t>
  </si>
  <si>
    <t>Байт 32</t>
  </si>
  <si>
    <t>Байт 33</t>
  </si>
  <si>
    <t>Байт 34</t>
  </si>
  <si>
    <t>Байт 35</t>
  </si>
  <si>
    <t>Байт 36</t>
  </si>
  <si>
    <t>Байт 37</t>
  </si>
  <si>
    <t>Байт 38</t>
  </si>
  <si>
    <t>Байт 39</t>
  </si>
  <si>
    <t>Байт 40</t>
  </si>
  <si>
    <t>Байт 41</t>
  </si>
  <si>
    <t>Байт 42</t>
  </si>
  <si>
    <t>Байт 43</t>
  </si>
  <si>
    <t>Байт 44</t>
  </si>
  <si>
    <t>Байт 45</t>
  </si>
  <si>
    <t>Байт 46</t>
  </si>
  <si>
    <t>Байт 47</t>
  </si>
  <si>
    <t>Байт 48</t>
  </si>
  <si>
    <t>Байт 49</t>
  </si>
  <si>
    <t>Байт 50</t>
  </si>
  <si>
    <t xml:space="preserve"> EGTS Protocol Analyzer — Анализатор пакетов протокола EGTS</t>
  </si>
  <si>
    <t>ГОСТ:</t>
  </si>
  <si>
    <t>ГОСТ Р 33472-2015 (Order №285 Минтранс РФ от 31.07.2012)</t>
  </si>
  <si>
    <t>Протокол:</t>
  </si>
  <si>
    <t>EGTS — Era Glonass Telematics Standard (бинарный TCP-протокол)</t>
  </si>
  <si>
    <t>📄 ЛИСТЫ КНИГИ:</t>
  </si>
  <si>
    <t>1. 📖 ИНСТРУКЦИЯ</t>
  </si>
  <si>
    <t>Этот лист — справочная информация и инструкции</t>
  </si>
  <si>
    <t>2. 🔍 РАЗБОР_ПАКЕТА</t>
  </si>
  <si>
    <t>Введите HEX-строку пакета → автоматический разбор всех полей</t>
  </si>
  <si>
    <t>3. 📡 SR_POS_DATA</t>
  </si>
  <si>
    <t>Калькулятор подзаписи EGTS_SR_POS_DATA (координаты, скорость)</t>
  </si>
  <si>
    <t>4. 📊 SDR_ЗАПИСЬ</t>
  </si>
  <si>
    <t>Структура записи SDR уровня поддержки услуг</t>
  </si>
  <si>
    <t>5. 📚 СПРАВОЧНИК</t>
  </si>
  <si>
    <t>Коды ошибок, типы пакетов, типы сервисов, SRC-коды</t>
  </si>
  <si>
    <t>📌 КАК ИСПОЛЬЗОВАТЬ:</t>
  </si>
  <si>
    <t>Шаг 1:</t>
  </si>
  <si>
    <t>Перейдите на лист '🔍 РАЗБОР_ПАКЕТА'</t>
  </si>
  <si>
    <t>Шаг 2:</t>
  </si>
  <si>
    <t>В ячейку B4 введите HEX-байты пакета через пробел</t>
  </si>
  <si>
    <t xml:space="preserve">         Пример:</t>
  </si>
  <si>
    <t>01 00 03 0B 00 03 00 89 00 00 4A 15 38 00 33 E8</t>
  </si>
  <si>
    <t>Шаг 3:</t>
  </si>
  <si>
    <t>Все поля разберутся автоматически — заголовок, SDR-записи, подзаписи</t>
  </si>
  <si>
    <t>Шаг 4:</t>
  </si>
  <si>
    <t>Для разбора SR_POS_DATA используйте лист '📡 SR_POS_DATA'</t>
  </si>
  <si>
    <t>💡 СТРУКТУРА ПАКЕТА:</t>
  </si>
  <si>
    <t>Транспортный заголовок:</t>
  </si>
  <si>
    <t>PRV SKID PRF HL HE FDL(2) PID(2) PT [PRA(2) RCA(2) TTL] HCS</t>
  </si>
  <si>
    <t>Тело SFRD:</t>
  </si>
  <si>
    <t>Записи SDR1, SDR2...SDRn (каждая содержит подзаписи)</t>
  </si>
  <si>
    <t>Контрольная сумма SFRCS:</t>
  </si>
  <si>
    <t>CRC-16 по данным SFRD (2 байта)</t>
  </si>
  <si>
    <t>⚡ КОНТРОЛЬНЫЕ СУММЫ:</t>
  </si>
  <si>
    <t>HCS:</t>
  </si>
  <si>
    <t>CRC-8 от байта PRV до байта перед HCS (алгоритм: poly=0x31, init=0xFF)</t>
  </si>
  <si>
    <t>SFRCS:</t>
  </si>
  <si>
    <t>CRC-16 CCITT от всех байт SFRD (poly=0x1021, init=0xFFFF)</t>
  </si>
  <si>
    <t>📐 ТИПЫ ДАННЫХ:</t>
  </si>
  <si>
    <t>BYTE:</t>
  </si>
  <si>
    <t>1 байт, беззнаковый (0..255)</t>
  </si>
  <si>
    <t>USHORT:</t>
  </si>
  <si>
    <t>2 байта, little-endian, беззнаковый (0..65535)</t>
  </si>
  <si>
    <t>UINT:</t>
  </si>
  <si>
    <t>4 байта, little-endian, беззнаковый (0..4294967295)</t>
  </si>
  <si>
    <t>BINARY:</t>
  </si>
  <si>
    <t>Произвольная последовательность байт</t>
  </si>
  <si>
    <t xml:space="preserve">  📡 EGTS_SR_POS_DATA — Разбор подзаписи позиционирования</t>
  </si>
  <si>
    <t>Введите байты подзаписи EGTS_SR_POS_DATA (HEX через пробел):</t>
  </si>
  <si>
    <t>Поле</t>
  </si>
  <si>
    <t>Байты</t>
  </si>
  <si>
    <t>Расчёт</t>
  </si>
  <si>
    <t>Итоговое значение</t>
  </si>
  <si>
    <t>NTM — Navigation Time</t>
  </si>
  <si>
    <t>1-4</t>
  </si>
  <si>
    <t>Время навигации — секунды с 00:00:00 01.01.2010 UTC (UINT LE, 4 байта)</t>
  </si>
  <si>
    <t>LAT — Latitude</t>
  </si>
  <si>
    <t>5-8</t>
  </si>
  <si>
    <t>Широта по модулю. Формула: LAT_degrees = LAT × 90 / 4294967295</t>
  </si>
  <si>
    <t>LONG — Longitude</t>
  </si>
  <si>
    <t>9-12</t>
  </si>
  <si>
    <t>Долгота по модулю. Формула: LONG_degrees = LONG × 180 / 4294967295</t>
  </si>
  <si>
    <t>FLG — Flags</t>
  </si>
  <si>
    <t>13</t>
  </si>
  <si>
    <t>Флаги: ALTE(7) LOHS(6) LAHS(5) MV(4) BB(3) FIX(2) CS(1) VLD(0)</t>
  </si>
  <si>
    <t>→ Биты расшифрованы ниже</t>
  </si>
  <si>
    <t xml:space="preserve">  ╠ ALTE (бит 7)</t>
  </si>
  <si>
    <t>1=поле ALT присутствует, 0=ALT не передаётся</t>
  </si>
  <si>
    <t xml:space="preserve">  ╠ LOHS (бит 6)</t>
  </si>
  <si>
    <t>Полушарие долготы: 0=восточная, 1=западная</t>
  </si>
  <si>
    <t xml:space="preserve">  ╠ LAHS (бит 5)</t>
  </si>
  <si>
    <t>Полушарие широты: 0=северная, 1=южная</t>
  </si>
  <si>
    <t xml:space="preserve">  ╠ MV (бит 4)</t>
  </si>
  <si>
    <t>Признак движения: 1=движение, 0=стоянка</t>
  </si>
  <si>
    <t xml:space="preserve">  ╠ BB (бит 3)</t>
  </si>
  <si>
    <t>Признак 'чёрного ящика': 0=актуальные данные, 1=из памяти</t>
  </si>
  <si>
    <t xml:space="preserve">  ╠ FIX (бит 2)</t>
  </si>
  <si>
    <t>Тип определения координат: 0=2D fix, 1=3D fix</t>
  </si>
  <si>
    <t xml:space="preserve">  ╠ CS (бит 1)</t>
  </si>
  <si>
    <t>Система координат: 0=WGS-84, 1=ПЗ-90.02</t>
  </si>
  <si>
    <t xml:space="preserve">  ╚ VLD (бит 0)</t>
  </si>
  <si>
    <t>Валидность координат: 1=данные валидны, 0=невалидны</t>
  </si>
  <si>
    <t>SPD — Speed (14 bits)</t>
  </si>
  <si>
    <t>14-15</t>
  </si>
  <si>
    <t>Скорость в км/ч × 0.1 (14 младших бит из 2-байтного поля USHORT LE). Бит 15 = DIRH, бит 14 = ALTS.</t>
  </si>
  <si>
    <t xml:space="preserve">  ╠ DIRH (бит 15 SPD)</t>
  </si>
  <si>
    <t>Старший (9-й) бит направления движения DIR. Объединяется с байтом DIR (байт 16).</t>
  </si>
  <si>
    <t xml:space="preserve">  ╚ ALTS (бит 14 SPD)</t>
  </si>
  <si>
    <t>Знак высоты (актуально при ALTE=1): 0=выше уровня моря, 1=ниже.</t>
  </si>
  <si>
    <t>DIR — Direction</t>
  </si>
  <si>
    <t>16</t>
  </si>
  <si>
    <t>Направление движения в градусах (0-359°), отсчёт по часовой от севера. 9 бит: DIRH (старший) + DIR (байт 16).</t>
  </si>
  <si>
    <t>ODM — Odometer</t>
  </si>
  <si>
    <t>17-19</t>
  </si>
  <si>
    <t>Пробег в км с дискретностью 0.1 км (3 байта LE).</t>
  </si>
  <si>
    <t>DIN — Digital Inputs</t>
  </si>
  <si>
    <t>20</t>
  </si>
  <si>
    <t>Битовые флаги дискретных входов 1-8. Бит=1 → вход активен. Для удобства и экономии трафика.</t>
  </si>
  <si>
    <t>SRC — Source</t>
  </si>
  <si>
    <t>21</t>
  </si>
  <si>
    <t>Источник/событие, инициировавший отправку. 0=таймер(зажигание), 1=пробег, 2=поворот, 3=запрос…</t>
  </si>
  <si>
    <t>📊 ИТОГОВЫЕ КООРДИНАТЫ</t>
  </si>
  <si>
    <t>🌐 КООРДИНАТЫ:</t>
  </si>
  <si>
    <t>Интерпретация</t>
  </si>
  <si>
    <t>1-2</t>
  </si>
  <si>
    <t>3-4</t>
  </si>
  <si>
    <t>5</t>
  </si>
  <si>
    <t xml:space="preserve">  📚 EGTS — Справочник кодов и типов</t>
  </si>
  <si>
    <t>▶ КОДЫ РЕЗУЛЬТАТОВ ОБРАБОТКИ (Processing Result Codes)</t>
  </si>
  <si>
    <t>Код</t>
  </si>
  <si>
    <t>Обозначение</t>
  </si>
  <si>
    <t>EGTS_PC_OK</t>
  </si>
  <si>
    <t>Успешно обработано</t>
  </si>
  <si>
    <t>EGTS_PC_IN_PROGRESS</t>
  </si>
  <si>
    <t>В процессе обработки</t>
  </si>
  <si>
    <t>EGTS_PC_UNS_PROTOCOL</t>
  </si>
  <si>
    <t>Неподдерживаемый протокол</t>
  </si>
  <si>
    <t>EGTS_PC_DECRYPT_ERROR</t>
  </si>
  <si>
    <t>Ошибка декодирования/расшифровки</t>
  </si>
  <si>
    <t>EGTS_PC_PROC_DENIED</t>
  </si>
  <si>
    <t>Обработка запрещена</t>
  </si>
  <si>
    <t>EGTS_PC_INC_HEADERFORM</t>
  </si>
  <si>
    <t>Неверный формат заголовка</t>
  </si>
  <si>
    <t>EGTS_PC_INC_DATAFORM</t>
  </si>
  <si>
    <t>Неверный формат данных</t>
  </si>
  <si>
    <t>EGTS_PC_UNS_TYPE</t>
  </si>
  <si>
    <t>Неподдерживаемый тип</t>
  </si>
  <si>
    <t>EGTS_PC_NOTEN_PARAMS</t>
  </si>
  <si>
    <t>Неверное число параметров</t>
  </si>
  <si>
    <t>EGTS_PC_DBL_PROC</t>
  </si>
  <si>
    <t>Попытка повторной обработки</t>
  </si>
  <si>
    <t>EGTS_PC_PROC_SRC_DENIED</t>
  </si>
  <si>
    <t>Обработка данных от источника запрещена</t>
  </si>
  <si>
    <t>EGTS_PC_HEADERCRC_ERROR</t>
  </si>
  <si>
    <t>Ошибка CRC заголовка</t>
  </si>
  <si>
    <t>EGTS_PC_DATACRC_ERROR</t>
  </si>
  <si>
    <t>Ошибка CRC данных</t>
  </si>
  <si>
    <t>EGTS_PC_INVDATALEN</t>
  </si>
  <si>
    <t>Некорректная длина данных</t>
  </si>
  <si>
    <t>EGTS_PC_ROUTE_NFOUND</t>
  </si>
  <si>
    <t>Маршрут не найден</t>
  </si>
  <si>
    <t>EGTS_PC_ROUTE_CLOSED</t>
  </si>
  <si>
    <t>Маршрут закрыт</t>
  </si>
  <si>
    <t>EGTS_PC_ROUTE_DENIED</t>
  </si>
  <si>
    <t>Маршрутизация запрещена</t>
  </si>
  <si>
    <t>EGTS_PC_INVADDR</t>
  </si>
  <si>
    <t>Неверный адрес</t>
  </si>
  <si>
    <t>EGTS_PC_TTLEXPIRED</t>
  </si>
  <si>
    <t>Превышено кол-во ретрансляций (TTL=0)</t>
  </si>
  <si>
    <t>EGTS_PC_NO_ACK</t>
  </si>
  <si>
    <t>Нет подтверждения</t>
  </si>
  <si>
    <t>EGTS_PC_OBJ_NFOUND</t>
  </si>
  <si>
    <t>Объект не найден</t>
  </si>
  <si>
    <t>EGTS_PC_EVNT_NFOUND</t>
  </si>
  <si>
    <t>Событие не найдено</t>
  </si>
  <si>
    <t>EGTS_PC_SRVC_NFOUND</t>
  </si>
  <si>
    <t>Сервис не найден</t>
  </si>
  <si>
    <t>EGTS_PC_SRVC_DENIED</t>
  </si>
  <si>
    <t>Сервис запрещён</t>
  </si>
  <si>
    <t>EGTS_PC_SRVC_UNKN</t>
  </si>
  <si>
    <t>Неизвестный тип сервиса</t>
  </si>
  <si>
    <t>EGTS_PC_AUTH_DENIED</t>
  </si>
  <si>
    <t>Авторизация запрещена</t>
  </si>
  <si>
    <t>EGTS_PC_ALREADY_EXISTS</t>
  </si>
  <si>
    <t>Объект уже существует</t>
  </si>
  <si>
    <t>EGTS_PC_ID_NFOUND</t>
  </si>
  <si>
    <t>Идентификатор не найден</t>
  </si>
  <si>
    <t>EGTS_PC_INC_DATETIME</t>
  </si>
  <si>
    <t>Неправильная дата и время</t>
  </si>
  <si>
    <t>EGTS_PC_IO_ERROR</t>
  </si>
  <si>
    <t>Ошибка ввода/вывода</t>
  </si>
  <si>
    <t>EGTS_PC_NO_RES_AVAIL</t>
  </si>
  <si>
    <t>Недостаточно ресурсов</t>
  </si>
  <si>
    <t>EGTS_PC_MODULE_FAULT</t>
  </si>
  <si>
    <t>Внутренний сбой модуля</t>
  </si>
  <si>
    <t>EGTS_PC_TEST_FAILED</t>
  </si>
  <si>
    <t>Тест не пройден</t>
  </si>
  <si>
    <t>Тип сервиса</t>
  </si>
  <si>
    <t>EGTS_AUTH_SERVICE — Авторизация</t>
  </si>
  <si>
    <t>EGTS_TELEDATA_SERVICE — Телематика</t>
  </si>
  <si>
    <t>EGTS_COMMANDS_SERVICE — Команды</t>
  </si>
  <si>
    <t>EGTS_FIRMWARE_SERVICE — Обновление ПО</t>
  </si>
  <si>
    <t>Код PT</t>
  </si>
  <si>
    <t>Тип пакета</t>
  </si>
  <si>
    <t>EGTS_PT_RESPONSE</t>
  </si>
  <si>
    <t>EGTS_PT_APPDATA</t>
  </si>
  <si>
    <t>EGTS_PT_SIGNED_APPDATA</t>
  </si>
  <si>
    <t>▶ SRC — ИСТОЧНИКИ НАВИГАЦИОННЫХ ПОСЫЛОК</t>
  </si>
  <si>
    <t>Таймер при включённом зажигании</t>
  </si>
  <si>
    <t>Пробег заданной дистанции</t>
  </si>
  <si>
    <t>Превышение угла поворота</t>
  </si>
  <si>
    <t>Ответ на запрос</t>
  </si>
  <si>
    <t>Изменение состояния входа</t>
  </si>
  <si>
    <t>Таймер при выключённом зажигании</t>
  </si>
  <si>
    <t>Отключение периферийного оборудования</t>
  </si>
  <si>
    <t>Превышение порога скорости</t>
  </si>
  <si>
    <t>Перезагрузка ЦП (рестарт)</t>
  </si>
  <si>
    <t>Перегрузка по выходу</t>
  </si>
  <si>
    <t>Датчик вскрытия корпуса</t>
  </si>
  <si>
    <t>Переход на резервное питание</t>
  </si>
  <si>
    <t>Снижение напряжения резервного питания</t>
  </si>
  <si>
    <t>Нажата тревожная кнопка</t>
  </si>
  <si>
    <t>Запрос голосовой связи</t>
  </si>
  <si>
    <t>Экстренный вызов</t>
  </si>
  <si>
    <t>Неисправность резервного аккумулятора</t>
  </si>
  <si>
    <t>Резкий разгон</t>
  </si>
  <si>
    <t>Резкое торможение</t>
  </si>
  <si>
    <t>Отключение навигационного модуля</t>
  </si>
  <si>
    <t>Перемещение при выключённом зажигании</t>
  </si>
  <si>
    <t>Начало/окончание навигации</t>
  </si>
  <si>
    <t>Установка IP-соединения</t>
  </si>
  <si>
    <t>Изменение режима работы</t>
  </si>
  <si>
    <t>▶ РЕЖИМЫ РАБОТЫ АСН (ST в EGTS_SR_STATE_DATA)</t>
  </si>
  <si>
    <t>Название</t>
  </si>
  <si>
    <t>Пассивный</t>
  </si>
  <si>
    <t>ЭРА</t>
  </si>
  <si>
    <t>Активный</t>
  </si>
  <si>
    <t>Экстренное слежение</t>
  </si>
  <si>
    <t>Тестирование</t>
  </si>
  <si>
    <t>Автосервис</t>
  </si>
  <si>
    <t>Загрузка ПО</t>
  </si>
  <si>
    <t>25 42 56 1A 3D E9 93 9E 24 06 81 35 FF D2 C4 2D 31 D4 00 A5 07 56 34 12</t>
  </si>
  <si>
    <t>01 00 22 10 00 8F 00 34 12 01 01 00 02 00 03 02 7C 00 01 00 17 04 03 02 01 44 33 22 11 25 42 56 1A 02 02 10 18 00 25 42 56 1A 3D E9 93 9E 24 06 81 35 FF D2 C4 2D 31 D4 00 A5 07 56 34 12 11 0A 00 1F 23 01 56 04 89 07 0C 03 00 12 23 00 FF 5A FF 01 00 FF 55 AA 0F F0 81 23 01 00 56 04 00 89 07 00 BC 0A 00 EF 0D 00 34 12 00 78 56 00 CD AB 09 13 19 00 FF 01 00 00 02 00 00 03 00 00 10 27 00 FF FF 00 56 34 12 AA 55 00 FE DC BA 14 05 00 02 86 29 04 07 1B 07 00 6D 34 12 78 56 34 12 6C FC</t>
  </si>
  <si>
    <t>SDR_ЗАПИСЬ — Чистый разбор служебной записи EGTS</t>
  </si>
  <si>
    <t>Введите SDR-запись в HEX через пробел:</t>
  </si>
  <si>
    <t>7C 00 01 00 17 04 03 02 01 44 33 22 11 25 42 56 1A 02 02 10 18 00 25 42 56 1A 3D E9 93 9E 24 06 81 35 FF D2 C4 2D 31 D4 00 A5 07 56 34 12 11 0A 00 1F 23 01 56 04 89 07 0C 03 00 12 23 00 FF 5A FF 01 00 FF 55 AA 0F F0 81 23 01 00 56 04 00 89 07 00 BC 0A 00 EF 0D 00 34 12 00 78 56 00 CD AB 09 13 19 00 FF 01 00 00 02 00 00 03 00 00 10 27 00 FF FF 00 56 34 12 AA 55 00 FE DC BA 14 05 00 02 86 29 04 07 1B 07 00 6D 34 12 78 56 34 12</t>
  </si>
  <si>
    <t>BIN / Доп.</t>
  </si>
  <si>
    <t>RL</t>
  </si>
  <si>
    <t>Record Length (UINT16 LE)</t>
  </si>
  <si>
    <t>RN</t>
  </si>
  <si>
    <t>Record Number (UINT16 LE)</t>
  </si>
  <si>
    <t>RFL</t>
  </si>
  <si>
    <t>Флаги записи SDR</t>
  </si>
  <si>
    <t>OBFE</t>
  </si>
  <si>
    <t>Наличие поля OID</t>
  </si>
  <si>
    <t>EVFE</t>
  </si>
  <si>
    <t>Наличие поля EVID</t>
  </si>
  <si>
    <t>TMFE</t>
  </si>
  <si>
    <t>Наличие поля TM</t>
  </si>
  <si>
    <t>SST</t>
  </si>
  <si>
    <t>Source Service Type</t>
  </si>
  <si>
    <t>RST</t>
  </si>
  <si>
    <t>Recipient Service Type</t>
  </si>
  <si>
    <t>OID</t>
  </si>
  <si>
    <t>Object Identifier (UINT32 LE)</t>
  </si>
  <si>
    <t>EVID</t>
  </si>
  <si>
    <t>Event Identifier (UINT32 LE)</t>
  </si>
  <si>
    <t>TM</t>
  </si>
  <si>
    <t>Time mark (UINT32 LE)</t>
  </si>
  <si>
    <t>DATA_START</t>
  </si>
  <si>
    <t/>
  </si>
  <si>
    <t>Позиция начала полезной нагрузки</t>
  </si>
  <si>
    <t>Первые байты записи</t>
  </si>
  <si>
    <t>№ байта</t>
  </si>
  <si>
    <t xml:space="preserve"> </t>
  </si>
  <si>
    <t>1</t>
  </si>
  <si>
    <t>2</t>
  </si>
  <si>
    <t>3</t>
  </si>
  <si>
    <t>4</t>
  </si>
  <si>
    <t>6</t>
  </si>
  <si>
    <t>7</t>
  </si>
  <si>
    <t>8</t>
  </si>
  <si>
    <t>9</t>
  </si>
  <si>
    <t>11</t>
  </si>
  <si>
    <t>12</t>
  </si>
  <si>
    <t>🛰 EGTS_SR_EXT_POS_DATA — Разбор подзаписи</t>
  </si>
  <si>
    <t>Введите байты подзаписи EGTS_SR_EXT_POS_DATA (HEX через пробел):</t>
  </si>
  <si>
    <t>1F 23 01 56 04 89 07 0C 03 00</t>
  </si>
  <si>
    <t>NSFE</t>
  </si>
  <si>
    <t>Наличие поля NS (бит 4)</t>
  </si>
  <si>
    <t>SFE</t>
  </si>
  <si>
    <t>Наличие поля SAT (бит 3)</t>
  </si>
  <si>
    <t>PFE</t>
  </si>
  <si>
    <t>Наличие поля PDOP (бит 2)</t>
  </si>
  <si>
    <t>HFE</t>
  </si>
  <si>
    <t>Наличие поля HDOP (бит 1)</t>
  </si>
  <si>
    <t>VFE</t>
  </si>
  <si>
    <t>Наличие поля VDOP (бит 0)</t>
  </si>
  <si>
    <t>VDOP</t>
  </si>
  <si>
    <t>Vertical Dilution of Precision (UINT16 LE)</t>
  </si>
  <si>
    <t>HDOP</t>
  </si>
  <si>
    <t>Horizontal Dilution of Precision (UINT16 LE)</t>
  </si>
  <si>
    <t>PDOP</t>
  </si>
  <si>
    <t>Position Dilution of Precision (UINT16 LE)</t>
  </si>
  <si>
    <t>SAT — Satellites</t>
  </si>
  <si>
    <t>Количество видимых спутников (BYTE)</t>
  </si>
  <si>
    <t>NS — Navigation System</t>
  </si>
  <si>
    <t>Битовые флаги навигационных систем (UINT16 LE)</t>
  </si>
  <si>
    <t>ВСПОМОГАТЕЛЬНЫЕ БАЙТЫ</t>
  </si>
  <si>
    <t>🔋 EGTS_SR_STATE_DATA — Разбор подзаписи</t>
  </si>
  <si>
    <t>Введите байты подзаписи EGTS_SR_STATE_DATA (HEX через пробел):</t>
  </si>
  <si>
    <t>02 86 29 04 07</t>
  </si>
  <si>
    <t>ST — State</t>
  </si>
  <si>
    <t>Текущий режим работы АС (BYTE)</t>
  </si>
  <si>
    <t>MPSV</t>
  </si>
  <si>
    <t>Напряжение основного питания (сырое BYTE)</t>
  </si>
  <si>
    <t>BBV</t>
  </si>
  <si>
    <t>Напряжение резервной батареи (сырое BYTE)</t>
  </si>
  <si>
    <t>IBV</t>
  </si>
  <si>
    <t>Напряжение внутренней батареи (сырое BYTE)</t>
  </si>
  <si>
    <t>Байт флагов: NMS, IBU, BBU</t>
  </si>
  <si>
    <t>NMS</t>
  </si>
  <si>
    <t>Флаг неисправности навигационного модуля (бит 2)</t>
  </si>
  <si>
    <t>IBU</t>
  </si>
  <si>
    <t>Флаг использования внутренней батареи (бит 1)</t>
  </si>
  <si>
    <t>BBU</t>
  </si>
  <si>
    <t>Флаг использования резервной батареи (бит 0)</t>
  </si>
  <si>
    <t>🎛 EGTS_SR_AD_SENSORS_DATA — Разбор подзаписи</t>
  </si>
  <si>
    <t>Введите байты подзаписи EGTS_SR_AD_SENSORS_DATA (HEX через пробел):</t>
  </si>
  <si>
    <t>FF 5A FF 01 00 FF 55 AA 0F F0 81 23 01 00 56 04 00 89 07 00 BC 0A 00 EF 0D 00 34 12 00 78 56 00 CD AB 09</t>
  </si>
  <si>
    <t>DIOFLAGS</t>
  </si>
  <si>
    <t>Флаги наличия ADIO1..ADIO8</t>
  </si>
  <si>
    <t>DIOE1</t>
  </si>
  <si>
    <t>Наличие ADIO1</t>
  </si>
  <si>
    <t>DIOE2</t>
  </si>
  <si>
    <t>Наличие ADIO2</t>
  </si>
  <si>
    <t>DIOE3</t>
  </si>
  <si>
    <t>Наличие ADIO3</t>
  </si>
  <si>
    <t>DIOE4</t>
  </si>
  <si>
    <t>Наличие ADIO4</t>
  </si>
  <si>
    <t>DIOE5</t>
  </si>
  <si>
    <t>Наличие ADIO5</t>
  </si>
  <si>
    <t>DIOE6</t>
  </si>
  <si>
    <t>Наличие ADIO6</t>
  </si>
  <si>
    <t>DIOE7</t>
  </si>
  <si>
    <t>Наличие ADIO7</t>
  </si>
  <si>
    <t>DIOE8</t>
  </si>
  <si>
    <t>Наличие ADIO8</t>
  </si>
  <si>
    <t>DOUT</t>
  </si>
  <si>
    <t>Битовые флаги цифровых выходов</t>
  </si>
  <si>
    <t>ASFLAGS</t>
  </si>
  <si>
    <t>Флаги наличия ANS1..ANS8</t>
  </si>
  <si>
    <t>ASFE1</t>
  </si>
  <si>
    <t>Наличие ANS1</t>
  </si>
  <si>
    <t>ASFE2</t>
  </si>
  <si>
    <t>Наличие ANS2</t>
  </si>
  <si>
    <t>ASFE3</t>
  </si>
  <si>
    <t>Наличие ANS3</t>
  </si>
  <si>
    <t>ASFE4</t>
  </si>
  <si>
    <t>Наличие ANS4</t>
  </si>
  <si>
    <t>ASFE5</t>
  </si>
  <si>
    <t>Наличие ANS5</t>
  </si>
  <si>
    <t>ASFE6</t>
  </si>
  <si>
    <t>Наличие ANS6</t>
  </si>
  <si>
    <t>ASFE7</t>
  </si>
  <si>
    <t>Наличие ANS7</t>
  </si>
  <si>
    <t>ASFE8</t>
  </si>
  <si>
    <t>Наличие ANS8</t>
  </si>
  <si>
    <t>ADIO1</t>
  </si>
  <si>
    <t>Дополнительный дискретный вход 1 (BYTE)</t>
  </si>
  <si>
    <t>ADIO2</t>
  </si>
  <si>
    <t>Дополнительный дискретный вход 2 (BYTE)</t>
  </si>
  <si>
    <t>ADIO3</t>
  </si>
  <si>
    <t>Дополнительный дискретный вход 3 (BYTE)</t>
  </si>
  <si>
    <t>ADIO4</t>
  </si>
  <si>
    <t>Дополнительный дискретный вход 4 (BYTE)</t>
  </si>
  <si>
    <t>ADIO5</t>
  </si>
  <si>
    <t>Дополнительный дискретный вход 5 (BYTE)</t>
  </si>
  <si>
    <t>ADIO6</t>
  </si>
  <si>
    <t>Дополнительный дискретный вход 6 (BYTE)</t>
  </si>
  <si>
    <t>ADIO7</t>
  </si>
  <si>
    <t>Дополнительный дискретный вход 7 (BYTE)</t>
  </si>
  <si>
    <t>ADIO8</t>
  </si>
  <si>
    <t>Дополнительный дискретный вход 8 (BYTE)</t>
  </si>
  <si>
    <t>ANS1</t>
  </si>
  <si>
    <t>Аналоговый датчик 1 (3 байта LE)</t>
  </si>
  <si>
    <t>ANS2</t>
  </si>
  <si>
    <t>Аналоговый датчик 2 (3 байта LE)</t>
  </si>
  <si>
    <t>ANS3</t>
  </si>
  <si>
    <t>Аналоговый датчик 3 (3 байта LE)</t>
  </si>
  <si>
    <t>ANS4</t>
  </si>
  <si>
    <t>Аналоговый датчик 4 (3 байта LE)</t>
  </si>
  <si>
    <t>ANS5</t>
  </si>
  <si>
    <t>Аналоговый датчик 5 (3 байта LE)</t>
  </si>
  <si>
    <t>ANS6</t>
  </si>
  <si>
    <t>Аналоговый датчик 6 (3 байта LE)</t>
  </si>
  <si>
    <t>ANS7</t>
  </si>
  <si>
    <t>Аналоговый датчик 7 (3 байта LE)</t>
  </si>
  <si>
    <t>ANS8</t>
  </si>
  <si>
    <t>Аналоговый датчик 8 (3 байта LE)</t>
  </si>
  <si>
    <t>14</t>
  </si>
  <si>
    <t>17</t>
  </si>
  <si>
    <t>18</t>
  </si>
  <si>
    <t>19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</si>
  <si>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</si>
  <si>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</si>
  <si>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</si>
  <si>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</si>
  <si>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</si>
  <si>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</si>
  <si>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</si>
  <si>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</si>
  <si>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</si>
  <si>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</si>
  <si>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</si>
  <si>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</si>
  <si>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</si>
  <si>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</si>
  <si>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🔢 EGTS_SR_COUNTERS_DATA — Разбор подзаписи</t>
  </si>
  <si>
    <t>Введите байты подзаписи EGTS_SR_COUNTERS_DATA (HEX через пробел):</t>
  </si>
  <si>
    <t>FF 01 00 00 02 00 00 03 00 00 10 27 00 FF FF 00 56 34 12 AA 55 00 FE DC BA</t>
  </si>
  <si>
    <t>CFEFLAGS</t>
  </si>
  <si>
    <t>Флаги наличия CN1..CN8</t>
  </si>
  <si>
    <t>CFE1</t>
  </si>
  <si>
    <t>Наличие CN1</t>
  </si>
  <si>
    <t>CFE2</t>
  </si>
  <si>
    <t>Наличие CN2</t>
  </si>
  <si>
    <t>CFE3</t>
  </si>
  <si>
    <t>Наличие CN3</t>
  </si>
  <si>
    <t>CFE4</t>
  </si>
  <si>
    <t>Наличие CN4</t>
  </si>
  <si>
    <t>CFE5</t>
  </si>
  <si>
    <t>Наличие CN5</t>
  </si>
  <si>
    <t>CFE6</t>
  </si>
  <si>
    <t>Наличие CN6</t>
  </si>
  <si>
    <t>CFE7</t>
  </si>
  <si>
    <t>Наличие CN7</t>
  </si>
  <si>
    <t>CFE8</t>
  </si>
  <si>
    <t>Наличие CN8</t>
  </si>
  <si>
    <t>CN1</t>
  </si>
  <si>
    <t>Значение счётного входа 1 (3 байта LE)</t>
  </si>
  <si>
    <t>CN2</t>
  </si>
  <si>
    <t>Значение счётного входа 2 (3 байта LE)</t>
  </si>
  <si>
    <t>CN3</t>
  </si>
  <si>
    <t>Значение счётного входа 3 (3 байта LE)</t>
  </si>
  <si>
    <t>CN4</t>
  </si>
  <si>
    <t>Значение счётного входа 4 (3 байта LE)</t>
  </si>
  <si>
    <t>CN5</t>
  </si>
  <si>
    <t>Значение счётного входа 5 (3 байта LE)</t>
  </si>
  <si>
    <t>CN6</t>
  </si>
  <si>
    <t>Значение счётного входа 6 (3 байта LE)</t>
  </si>
  <si>
    <t>CN7</t>
  </si>
  <si>
    <t>Значение счётного входа 7 (3 байта LE)</t>
  </si>
  <si>
    <t>CN8</t>
  </si>
  <si>
    <t>Значение счётного входа 8 (3 байта LE)</t>
  </si>
  <si>
    <t>⛽ EGTS_SR_LIQUID_LEVEL_SENSOR — Разбор подзаписи</t>
  </si>
  <si>
    <t>Введите байты подзаписи EGTS_SR_LIQUID_LEVEL_SENSOR (HEX через пробел):</t>
  </si>
  <si>
    <t>6D 34 12 78 56 34 12</t>
  </si>
  <si>
    <t>Флаги: LLSEF, LLSVU, RDF, LLSN</t>
  </si>
  <si>
    <t>LLSEF</t>
  </si>
  <si>
    <t>Флаг ошибки датчика (бит 6)</t>
  </si>
  <si>
    <t>LLSVU</t>
  </si>
  <si>
    <t>Единица измерения / код значения (биты 5-4)</t>
  </si>
  <si>
    <t>RDF</t>
  </si>
  <si>
    <t>Флаг сырых данных (бит 3)</t>
  </si>
  <si>
    <t>LLSN</t>
  </si>
  <si>
    <t>Номер датчика (биты 2-0)</t>
  </si>
  <si>
    <t>MADDR</t>
  </si>
  <si>
    <t>2-3</t>
  </si>
  <si>
    <t>Адрес модуля датчика (UINT16 LE)</t>
  </si>
  <si>
    <t>LLSD</t>
  </si>
  <si>
    <t>4-7</t>
  </si>
  <si>
    <t>Показание датчика уровня жидкости (UINT32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</si>
</sst>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sz val="10"/>
      <color rgb="FF2E75B6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375623"/>
      <name val="Arial"/>
      <charset val="1"/>
    </font>
    <font>
      <b/>
      <sz val="12"/>
      <color rgb="FF375623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AEE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99"/>
        <bgColor rgb="FFFFF2CC"/>
      </patternFill>
    </fill>
    <fill>
      <patternFill patternType="solid">
        <fgColor rgb="FFEAF7FB"/>
        <bgColor rgb="FFF2F2F2"/>
      </patternFill>
    </fill>
    <fill>
      <patternFill patternType="solid">
        <fgColor rgb="FFE2EFDA"/>
        <bgColor rgb="FFDAEEF3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AF7FB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FF9900"/>
      </top>
      <bottom style="medium">
        <color rgb="FFFF9900"/>
      </bottom>
      <diagonal/>
    </border>
    <border>
      <left/>
      <right style="medium">
        <color rgb="FFFF9900"/>
      </right>
      <top style="medium">
        <color rgb="FFFF9900"/>
      </top>
      <bottom style="medium">
        <color rgb="FFFF99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1" fillId="4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/>
    <xf numFmtId="0" fontId="0" fillId="0" borderId="0" xfId="0" applyAlignment="1">
      <alignment horizontal="center" vertical="center" wrapText="1"/>
    </xf>
    <xf numFmtId="0" fontId="11" fillId="0" borderId="0" xfId="0" applyFont="1"/>
    <xf numFmtId="0" fontId="9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7" fillId="6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FF2CC"/>
      <rgbColor rgb="FFDAEEF3"/>
      <rgbColor rgb="FF660066"/>
      <rgbColor rgb="FFFF8080"/>
      <rgbColor rgb="FF0066CC"/>
      <rgbColor rgb="FFE2E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FB"/>
      <rgbColor rgb="FFC6EFCE"/>
      <rgbColor rgb="FFFFFF99"/>
      <rgbColor rgb="FFF2F2F2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8C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9B19-1FA9-4D24-975E-421D5CEC73B4}">
  <sheetPr>
    <tabColor rgb="FF1F3864"/>
  </sheetPr>
  <dimension ref="A1:C33"/>
  <sheetViews>
    <sheetView tabSelected="1" zoomScaleNormal="100" workbookViewId="0">
      <selection activeCell="B4" sqref="B4"/>
    </sheetView>
  </sheetViews>
  <sheetFormatPr defaultColWidth="8.6640625" defaultRowHeight="14.4" x14ac:dyDescent="0.3"/>
  <cols>
    <col min="1" max="1" width="77.5546875" customWidth="1"/>
    <col min="2" max="2" width="70" customWidth="1"/>
    <col min="3" max="3" width="50" customWidth="1"/>
  </cols>
  <sheetData>
    <row r="1" spans="1:3" ht="49.5" customHeight="1" x14ac:dyDescent="0.3">
      <c r="A1" s="62" t="s">
        <v>127</v>
      </c>
      <c r="B1" s="63"/>
      <c r="C1" s="63"/>
    </row>
    <row r="2" spans="1:3" ht="18" customHeight="1" x14ac:dyDescent="0.3"/>
    <row r="3" spans="1:3" ht="18" customHeight="1" x14ac:dyDescent="0.3">
      <c r="A3" s="4" t="s">
        <v>128</v>
      </c>
      <c r="B3" s="5" t="s">
        <v>129</v>
      </c>
    </row>
    <row r="4" spans="1:3" ht="18" customHeight="1" x14ac:dyDescent="0.3">
      <c r="A4" s="4" t="s">
        <v>130</v>
      </c>
      <c r="B4" s="5" t="s">
        <v>131</v>
      </c>
    </row>
    <row r="5" spans="1:3" ht="18" customHeight="1" x14ac:dyDescent="0.3"/>
    <row r="6" spans="1:3" ht="18" customHeight="1" x14ac:dyDescent="0.3">
      <c r="A6" s="6" t="s">
        <v>132</v>
      </c>
      <c r="B6" s="6"/>
    </row>
    <row r="7" spans="1:3" ht="18" customHeight="1" x14ac:dyDescent="0.3">
      <c r="A7" s="4" t="s">
        <v>133</v>
      </c>
      <c r="B7" s="5" t="s">
        <v>134</v>
      </c>
    </row>
    <row r="8" spans="1:3" ht="18" customHeight="1" x14ac:dyDescent="0.3">
      <c r="A8" s="4" t="s">
        <v>135</v>
      </c>
      <c r="B8" s="5" t="s">
        <v>136</v>
      </c>
    </row>
    <row r="9" spans="1:3" ht="18" customHeight="1" x14ac:dyDescent="0.3">
      <c r="A9" s="4" t="s">
        <v>137</v>
      </c>
      <c r="B9" s="5" t="s">
        <v>138</v>
      </c>
    </row>
    <row r="10" spans="1:3" ht="18" customHeight="1" x14ac:dyDescent="0.3">
      <c r="A10" s="4" t="s">
        <v>139</v>
      </c>
      <c r="B10" s="5" t="s">
        <v>140</v>
      </c>
    </row>
    <row r="11" spans="1:3" ht="18" customHeight="1" x14ac:dyDescent="0.3">
      <c r="A11" s="4" t="s">
        <v>141</v>
      </c>
      <c r="B11" s="5" t="s">
        <v>142</v>
      </c>
    </row>
    <row r="12" spans="1:3" ht="18" customHeight="1" x14ac:dyDescent="0.3"/>
    <row r="13" spans="1:3" ht="18" customHeight="1" x14ac:dyDescent="0.3">
      <c r="A13" s="6" t="s">
        <v>143</v>
      </c>
      <c r="B13" s="6"/>
    </row>
    <row r="14" spans="1:3" ht="18" customHeight="1" x14ac:dyDescent="0.3">
      <c r="A14" s="7" t="s">
        <v>144</v>
      </c>
      <c r="B14" s="8" t="s">
        <v>145</v>
      </c>
    </row>
    <row r="15" spans="1:3" ht="18" customHeight="1" x14ac:dyDescent="0.3">
      <c r="A15" s="7" t="s">
        <v>146</v>
      </c>
      <c r="B15" s="8" t="s">
        <v>147</v>
      </c>
    </row>
    <row r="16" spans="1:3" ht="18" customHeight="1" x14ac:dyDescent="0.3">
      <c r="A16" s="7" t="s">
        <v>148</v>
      </c>
      <c r="B16" s="8" t="s">
        <v>149</v>
      </c>
    </row>
    <row r="17" spans="1:2" ht="18" customHeight="1" x14ac:dyDescent="0.3">
      <c r="A17" s="7" t="s">
        <v>150</v>
      </c>
      <c r="B17" s="8" t="s">
        <v>151</v>
      </c>
    </row>
    <row r="18" spans="1:2" ht="18" customHeight="1" x14ac:dyDescent="0.3">
      <c r="A18" s="7" t="s">
        <v>152</v>
      </c>
      <c r="B18" s="8" t="s">
        <v>153</v>
      </c>
    </row>
    <row r="19" spans="1:2" ht="18" customHeight="1" x14ac:dyDescent="0.3"/>
    <row r="20" spans="1:2" ht="18" customHeight="1" x14ac:dyDescent="0.3">
      <c r="A20" s="6" t="s">
        <v>154</v>
      </c>
      <c r="B20" s="6"/>
    </row>
    <row r="21" spans="1:2" ht="18" customHeight="1" x14ac:dyDescent="0.3">
      <c r="A21" s="4" t="s">
        <v>155</v>
      </c>
      <c r="B21" s="5" t="s">
        <v>156</v>
      </c>
    </row>
    <row r="22" spans="1:2" ht="18" customHeight="1" x14ac:dyDescent="0.3">
      <c r="A22" s="4" t="s">
        <v>157</v>
      </c>
      <c r="B22" s="5" t="s">
        <v>158</v>
      </c>
    </row>
    <row r="23" spans="1:2" ht="18" customHeight="1" x14ac:dyDescent="0.3">
      <c r="A23" s="4" t="s">
        <v>159</v>
      </c>
      <c r="B23" s="5" t="s">
        <v>160</v>
      </c>
    </row>
    <row r="24" spans="1:2" ht="18" customHeight="1" x14ac:dyDescent="0.3"/>
    <row r="25" spans="1:2" ht="18" customHeight="1" x14ac:dyDescent="0.3">
      <c r="A25" s="6" t="s">
        <v>161</v>
      </c>
      <c r="B25" s="6"/>
    </row>
    <row r="26" spans="1:2" ht="18" customHeight="1" x14ac:dyDescent="0.3">
      <c r="A26" s="4" t="s">
        <v>162</v>
      </c>
      <c r="B26" s="5" t="s">
        <v>163</v>
      </c>
    </row>
    <row r="27" spans="1:2" ht="18" customHeight="1" x14ac:dyDescent="0.3">
      <c r="A27" s="4" t="s">
        <v>164</v>
      </c>
      <c r="B27" s="5" t="s">
        <v>165</v>
      </c>
    </row>
    <row r="28" spans="1:2" ht="18" customHeight="1" x14ac:dyDescent="0.3"/>
    <row r="29" spans="1:2" ht="18" customHeight="1" x14ac:dyDescent="0.3">
      <c r="A29" s="6" t="s">
        <v>166</v>
      </c>
      <c r="B29" s="6"/>
    </row>
    <row r="30" spans="1:2" ht="18" customHeight="1" x14ac:dyDescent="0.3">
      <c r="A30" s="4" t="s">
        <v>167</v>
      </c>
      <c r="B30" s="5" t="s">
        <v>168</v>
      </c>
    </row>
    <row r="31" spans="1:2" ht="18" customHeight="1" x14ac:dyDescent="0.3">
      <c r="A31" s="4" t="s">
        <v>169</v>
      </c>
      <c r="B31" s="5" t="s">
        <v>170</v>
      </c>
    </row>
    <row r="32" spans="1:2" ht="18" customHeight="1" x14ac:dyDescent="0.3">
      <c r="A32" s="4" t="s">
        <v>171</v>
      </c>
      <c r="B32" s="5" t="s">
        <v>172</v>
      </c>
    </row>
    <row r="33" spans="1:2" ht="18" customHeight="1" x14ac:dyDescent="0.3">
      <c r="A33" s="4" t="s">
        <v>173</v>
      </c>
      <c r="B33" s="5" t="s">
        <v>174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6D0B-885B-42FA-B5DF-394CC05FE92F}">
  <sheetPr>
    <tabColor rgb="FFFF8C00"/>
  </sheetPr>
  <dimension ref="A1:H351"/>
  <sheetViews>
    <sheetView zoomScaleNormal="100" workbookViewId="0">
      <pane xSplit="1" ySplit="7" topLeftCell="B19" activePane="bottomRight" state="frozen"/>
      <selection pane="topRight" activeCell="B1" sqref="B1"/>
      <selection pane="bottomLeft" activeCell="A8" sqref="A8"/>
      <selection pane="bottomRight" activeCell="D21" sqref="D21"/>
    </sheetView>
  </sheetViews>
  <sheetFormatPr defaultColWidth="8.6640625" defaultRowHeight="14.4" x14ac:dyDescent="0.3"/>
  <cols>
    <col min="1" max="1" width="3" customWidth="1"/>
    <col min="2" max="2" width="66.109375" customWidth="1"/>
    <col min="3" max="3" width="24" customWidth="1"/>
    <col min="4" max="4" width="32.44140625" customWidth="1"/>
    <col min="5" max="5" width="9" customWidth="1"/>
    <col min="6" max="6" width="14" customWidth="1"/>
    <col min="7" max="7" width="117.33203125" customWidth="1"/>
    <col min="8" max="8" width="95.5546875" customWidth="1"/>
  </cols>
  <sheetData>
    <row r="1" spans="1:8" ht="34.5" customHeight="1" x14ac:dyDescent="0.3">
      <c r="A1" s="52" t="s">
        <v>0</v>
      </c>
      <c r="B1" s="53"/>
      <c r="C1" s="53"/>
      <c r="D1" s="53"/>
      <c r="E1" s="53"/>
      <c r="F1" s="53"/>
      <c r="G1" s="53"/>
      <c r="H1" s="54"/>
    </row>
    <row r="2" spans="1:8" ht="19.5" customHeight="1" x14ac:dyDescent="0.3">
      <c r="A2" s="58"/>
      <c r="B2" s="53"/>
      <c r="C2" s="53"/>
      <c r="D2" s="53"/>
      <c r="E2" s="53"/>
      <c r="F2" s="53"/>
      <c r="G2" s="53"/>
      <c r="H2" s="54"/>
    </row>
    <row r="3" spans="1:8" ht="19.5" customHeight="1" x14ac:dyDescent="0.3">
      <c r="B3" s="61" t="s">
        <v>1</v>
      </c>
      <c r="C3" s="54"/>
    </row>
    <row r="4" spans="1:8" ht="27.75" customHeight="1" x14ac:dyDescent="0.3">
      <c r="B4" s="55" t="s">
        <v>350</v>
      </c>
      <c r="C4" s="56"/>
      <c r="D4" s="56"/>
      <c r="E4" s="56"/>
      <c r="F4" s="56"/>
      <c r="G4" s="56"/>
      <c r="H4" s="57"/>
    </row>
    <row r="5" spans="1:8" ht="19.5" customHeight="1" x14ac:dyDescent="0.3">
      <c r="B5" s="66" t="str">
        <f>IFERROR("📊 Всего байт: "&amp;LEN(TRIM(B4))-LEN(SUBSTITUTE(TRIM(B4)," ",""))+1,"")</f>
        <v>📊 Всего байт: 161</v>
      </c>
      <c r="C5" s="53"/>
      <c r="D5" s="54"/>
      <c r="E5" s="66" t="str">
        <f>IFERROR("HL (длина загол.): "&amp;TEXT(F304,"0")&amp;" байт","")</f>
        <v>HL (длина загол.): 16 байт</v>
      </c>
      <c r="F5" s="53"/>
      <c r="G5" s="53"/>
      <c r="H5" s="54"/>
    </row>
    <row r="6" spans="1:8" ht="7.5" customHeight="1" x14ac:dyDescent="0.3">
      <c r="A6" s="58"/>
      <c r="B6" s="53"/>
      <c r="C6" s="53"/>
      <c r="D6" s="53"/>
      <c r="E6" s="53"/>
      <c r="F6" s="53"/>
      <c r="G6" s="53"/>
      <c r="H6" s="54"/>
    </row>
    <row r="7" spans="1:8" ht="30" customHeight="1" x14ac:dyDescent="0.3">
      <c r="B7" s="9" t="s">
        <v>2</v>
      </c>
      <c r="C7" s="9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</row>
    <row r="8" spans="1:8" ht="15" customHeight="1" x14ac:dyDescent="0.3">
      <c r="B8" s="59" t="s">
        <v>9</v>
      </c>
      <c r="C8" s="53"/>
      <c r="D8" s="53"/>
      <c r="E8" s="53"/>
      <c r="F8" s="53"/>
      <c r="G8" s="53"/>
      <c r="H8" s="54"/>
    </row>
    <row r="9" spans="1:8" ht="19.5" customHeight="1" x14ac:dyDescent="0.3">
      <c r="B9" s="10" t="s">
        <v>10</v>
      </c>
      <c r="C9" s="11">
        <v>1</v>
      </c>
      <c r="D9" s="11" t="str">
        <f t="shared" ref="D9:F11" si="0">E301</f>
        <v>01</v>
      </c>
      <c r="E9" s="11">
        <f t="shared" si="0"/>
        <v>1</v>
      </c>
      <c r="F9" s="12" t="str">
        <f t="shared" si="0"/>
        <v>00000001</v>
      </c>
      <c r="G9" s="13" t="s">
        <v>11</v>
      </c>
      <c r="H9" s="13" t="str">
        <f>IFERROR(IF(F301=1,"✅ Верно (v1)","⚠️ Неожиданное значение: "&amp;F301),"?")</f>
        <v>✅ Верно (v1)</v>
      </c>
    </row>
    <row r="10" spans="1:8" ht="19.5" customHeight="1" x14ac:dyDescent="0.3">
      <c r="B10" s="14" t="s">
        <v>12</v>
      </c>
      <c r="C10" s="15">
        <v>2</v>
      </c>
      <c r="D10" s="15" t="str">
        <f t="shared" si="0"/>
        <v>00</v>
      </c>
      <c r="E10" s="15">
        <f t="shared" si="0"/>
        <v>0</v>
      </c>
      <c r="F10" s="16" t="str">
        <f t="shared" si="0"/>
        <v>00000000</v>
      </c>
      <c r="G10" s="2" t="s">
        <v>13</v>
      </c>
      <c r="H10" s="2" t="str">
        <f>IFERROR(IF(F302=0,"🔓 Без шифрования","🔑 Ключ #"&amp;F302),"?")</f>
        <v>🔓 Без шифрования</v>
      </c>
    </row>
    <row r="11" spans="1:8" ht="19.5" customHeight="1" x14ac:dyDescent="0.3">
      <c r="B11" s="17" t="s">
        <v>14</v>
      </c>
      <c r="C11" s="18">
        <v>3</v>
      </c>
      <c r="D11" s="18" t="str">
        <f t="shared" si="0"/>
        <v>22</v>
      </c>
      <c r="E11" s="18">
        <f t="shared" si="0"/>
        <v>34</v>
      </c>
      <c r="F11" s="19" t="str">
        <f t="shared" si="0"/>
        <v>00100010</v>
      </c>
      <c r="G11" s="20" t="s">
        <v>15</v>
      </c>
      <c r="H11" s="20" t="s">
        <v>16</v>
      </c>
    </row>
    <row r="12" spans="1:8" ht="19.5" customHeight="1" x14ac:dyDescent="0.3">
      <c r="B12" s="21" t="s">
        <v>17</v>
      </c>
      <c r="C12" s="22" t="s">
        <v>18</v>
      </c>
      <c r="D12" s="22" t="str">
        <f ca="1">IFERROR(IF(_xludf.BITRSHIFT(_xludf.BITAND(F303,192),6)=0,"✅ OK (00)","⚠️ Ошибка!"),"?")</f>
        <v>?</v>
      </c>
      <c r="E12" s="22"/>
      <c r="F12" s="22" t="str">
        <f ca="1">IFERROR(_xludf.BITRSHIFT(_xludf.BITAND(F303,192),6),"")</f>
        <v/>
      </c>
      <c r="G12" s="21" t="s">
        <v>19</v>
      </c>
      <c r="H12" s="21" t="s">
        <v>20</v>
      </c>
    </row>
    <row r="13" spans="1:8" ht="19.5" customHeight="1" x14ac:dyDescent="0.3">
      <c r="B13" s="21" t="s">
        <v>21</v>
      </c>
      <c r="C13" s="22" t="s">
        <v>22</v>
      </c>
      <c r="D13" s="22" t="str">
        <f ca="1">IFERROR(_xludf.BITRSHIFT(_xludf.BITAND(F303,32),5),"")</f>
        <v/>
      </c>
      <c r="E13" s="22"/>
      <c r="F13" s="22"/>
      <c r="G13" s="21" t="s">
        <v>23</v>
      </c>
      <c r="H13" s="21" t="str">
        <f ca="1">IFERROR(IF(IFERROR(_xludf.BITRSHIFT(_xludf.BITAND(F303,32),5),"")=1,"🔀 Маршрутизация активна (HL=16)","➡️ Без маршрутизации (HL=11)"),"?")</f>
        <v>➡️ Без маршрутизации (HL=11)</v>
      </c>
    </row>
    <row r="14" spans="1:8" ht="19.5" customHeight="1" x14ac:dyDescent="0.3">
      <c r="B14" s="21" t="s">
        <v>24</v>
      </c>
      <c r="C14" s="22" t="s">
        <v>22</v>
      </c>
      <c r="D14" s="22" t="str">
        <f ca="1">IFERROR(_xludf.BITRSHIFT(_xludf.BITAND(F303,24),3),"")</f>
        <v/>
      </c>
      <c r="E14" s="22"/>
      <c r="F14" s="22"/>
      <c r="G14" s="21" t="s">
        <v>25</v>
      </c>
      <c r="H14" s="21" t="str">
        <f ca="1">IFERROR(CHOOSE(IFERROR(_xludf.BITRSHIFT(_xludf.BITAND(F303,24),3),"")*1+1,"🔓 Нет шифрования","🔐 Алг. 1","🔐 Алг. 2","🔐 Алг. 3"),"?")</f>
        <v>?</v>
      </c>
    </row>
    <row r="15" spans="1:8" ht="19.5" customHeight="1" x14ac:dyDescent="0.3">
      <c r="B15" s="21" t="s">
        <v>26</v>
      </c>
      <c r="C15" s="22" t="s">
        <v>22</v>
      </c>
      <c r="D15" s="22" t="str">
        <f ca="1">IFERROR(_xludf.BITRSHIFT(_xludf.BITAND(F303,4),2),"")</f>
        <v/>
      </c>
      <c r="E15" s="22"/>
      <c r="F15" s="22"/>
      <c r="G15" s="21" t="s">
        <v>27</v>
      </c>
      <c r="H15" s="21" t="str">
        <f ca="1">IFERROR(IF(IFERROR(_xludf.BITRSHIFT(_xludf.BITAND(F303,4),2),"")=1,"🗜️ Данные сжаты","📄 Без сжатия"),"?")</f>
        <v>📄 Без сжатия</v>
      </c>
    </row>
    <row r="16" spans="1:8" ht="19.5" customHeight="1" x14ac:dyDescent="0.3">
      <c r="B16" s="21" t="s">
        <v>28</v>
      </c>
      <c r="C16" s="22" t="s">
        <v>22</v>
      </c>
      <c r="D16" s="22" t="str">
        <f ca="1">IFERROR(_xludf.BITRSHIFT(_xludf.BITAND(F303,3),0),"")</f>
        <v/>
      </c>
      <c r="E16" s="22"/>
      <c r="F16" s="22"/>
      <c r="G16" s="21" t="s">
        <v>29</v>
      </c>
      <c r="H16" s="21" t="str">
        <f ca="1">IFERROR(CHOOSE(IFERROR(_xludf.BITRSHIFT(_xludf.BITAND(F303,3),0),"")*1+1,"🔴 Наивысший","🟠 Высокий","🟡 Средний","🟢 Низкий"),"?")</f>
        <v>?</v>
      </c>
    </row>
    <row r="17" spans="2:8" ht="19.5" customHeight="1" x14ac:dyDescent="0.3">
      <c r="B17" s="23" t="s">
        <v>30</v>
      </c>
      <c r="C17" s="15">
        <v>4</v>
      </c>
      <c r="D17" s="15" t="str">
        <f t="shared" ref="D17:F18" si="1">E304</f>
        <v>10</v>
      </c>
      <c r="E17" s="15">
        <f t="shared" si="1"/>
        <v>16</v>
      </c>
      <c r="F17" s="16" t="str">
        <f t="shared" si="1"/>
        <v>00010000</v>
      </c>
      <c r="G17" s="2" t="s">
        <v>31</v>
      </c>
      <c r="H17" s="2" t="str">
        <f>IFERROR(IF(F304=11,"✅ 11 байт (без маршрутизации)",IF(F304=16,"✅ 16 байт (с маршрутизацией)","⚠️ "&amp;F304&amp;" байт")),"?")</f>
        <v>✅ 16 байт (с маршрутизацией)</v>
      </c>
    </row>
    <row r="18" spans="2:8" ht="19.5" customHeight="1" x14ac:dyDescent="0.3">
      <c r="B18" s="14" t="s">
        <v>32</v>
      </c>
      <c r="C18" s="15">
        <v>5</v>
      </c>
      <c r="D18" s="15" t="str">
        <f t="shared" si="1"/>
        <v>00</v>
      </c>
      <c r="E18" s="15">
        <f t="shared" si="1"/>
        <v>0</v>
      </c>
      <c r="F18" s="16" t="str">
        <f t="shared" si="1"/>
        <v>00000000</v>
      </c>
      <c r="G18" s="2" t="s">
        <v>33</v>
      </c>
      <c r="H18" s="2" t="str">
        <f>IFERROR(IF(F305=0,"✅ Без кодирования","⚠️ Кодирование: "&amp;F305),"?")</f>
        <v>✅ Без кодирования</v>
      </c>
    </row>
    <row r="19" spans="2:8" ht="19.5" customHeight="1" x14ac:dyDescent="0.3">
      <c r="B19" s="24" t="s">
        <v>34</v>
      </c>
      <c r="C19" s="25" t="s">
        <v>35</v>
      </c>
      <c r="D19" s="26" t="str">
        <f>IFERROR(E306&amp;" "&amp;E307,"?")</f>
        <v>8F 00</v>
      </c>
      <c r="E19" s="25">
        <f>IFERROR(F307*256+F306,"")</f>
        <v>143</v>
      </c>
      <c r="F19" s="25" t="s">
        <v>22</v>
      </c>
      <c r="G19" s="1" t="s">
        <v>36</v>
      </c>
      <c r="H19" s="1" t="str">
        <f>IFERROR("📦 Размер SFRD: "&amp;IFERROR(F307*256+F306,"")*1&amp;" байт","")</f>
        <v>📦 Размер SFRD: 143 байт</v>
      </c>
    </row>
    <row r="20" spans="2:8" ht="19.5" customHeight="1" x14ac:dyDescent="0.3">
      <c r="B20" s="23" t="s">
        <v>37</v>
      </c>
      <c r="C20" s="15" t="s">
        <v>38</v>
      </c>
      <c r="D20" s="16" t="str">
        <f>IFERROR(E308&amp;" "&amp;E309,"?")</f>
        <v>34 12</v>
      </c>
      <c r="E20" s="15">
        <f>IFERROR(F309*256+F308,"")</f>
        <v>4660</v>
      </c>
      <c r="F20" s="15" t="s">
        <v>22</v>
      </c>
      <c r="G20" s="2" t="s">
        <v>39</v>
      </c>
      <c r="H20" s="2" t="str">
        <f>IFERROR("📨 Пакет №"&amp;IFERROR(F309*256+F308,"")*1,"?")</f>
        <v>📨 Пакет №4660</v>
      </c>
    </row>
    <row r="21" spans="2:8" ht="19.5" customHeight="1" x14ac:dyDescent="0.3">
      <c r="B21" s="27" t="s">
        <v>40</v>
      </c>
      <c r="C21" s="28" t="s">
        <v>41</v>
      </c>
      <c r="D21" s="28" t="str">
        <f>E310</f>
        <v>01</v>
      </c>
      <c r="E21" s="28">
        <f>F310</f>
        <v>1</v>
      </c>
      <c r="F21" s="29" t="str">
        <f>G310</f>
        <v>00000001</v>
      </c>
      <c r="G21" s="30" t="s">
        <v>42</v>
      </c>
      <c r="H21" s="30" t="str">
        <f>IFERROR(IF(F310=0,"📩 RESPONSE (подтверждение)",IF(F310=1,"📦 APPDATA (данные услуг)",IF(F310=2,"✍️ SIGNED_APPDATA (с ЦП)","⚠️ Неизв:"&amp;F310))),"?")</f>
        <v>📦 APPDATA (данные услуг)</v>
      </c>
    </row>
    <row r="22" spans="2:8" ht="19.5" customHeight="1" x14ac:dyDescent="0.3">
      <c r="B22" s="31" t="str">
        <f>IF(INT(MOD(F303,64)/32)=1,"PRA — Peer Address","PRA (не используется, RTE=0)")</f>
        <v>PRA — Peer Address</v>
      </c>
      <c r="C22" s="32" t="s">
        <v>43</v>
      </c>
      <c r="D22" s="33" t="str">
        <f>IF(INT(MOD(F303,64)/32)=1,E311&amp;" "&amp;E312,"—")</f>
        <v>01 00</v>
      </c>
      <c r="E22" s="32">
        <f>IF(INT(MOD(F303,64)/32)=1,IFERROR(F312*256+F311,""),"")</f>
        <v>1</v>
      </c>
      <c r="F22" s="32" t="s">
        <v>22</v>
      </c>
      <c r="G22" s="34" t="s">
        <v>44</v>
      </c>
      <c r="H22" s="34" t="str">
        <f>IF(INT(MOD(F303,64)/32)=1,"🖥️ Источник АПК #"&amp;IFERROR(F312*256+F311,"")*1,"➖ Поле отсутствует")</f>
        <v>🖥️ Источник АПК #1</v>
      </c>
    </row>
    <row r="23" spans="2:8" ht="19.5" customHeight="1" x14ac:dyDescent="0.3">
      <c r="B23" s="31" t="str">
        <f>IF(INT(MOD(F303,64)/32)=1,"RCA — Recipient Address","RCA (не используется, RTE=0)")</f>
        <v>RCA — Recipient Address</v>
      </c>
      <c r="C23" s="32" t="s">
        <v>45</v>
      </c>
      <c r="D23" s="33" t="str">
        <f>IF(INT(MOD(F303,64)/32)=1,E313&amp;" "&amp;E314,"—")</f>
        <v>02 00</v>
      </c>
      <c r="E23" s="32">
        <f>IF(INT(MOD(F303,64)/32)=1,IFERROR(F314*256+F313,""),"")</f>
        <v>2</v>
      </c>
      <c r="F23" s="32" t="s">
        <v>22</v>
      </c>
      <c r="G23" s="34" t="s">
        <v>46</v>
      </c>
      <c r="H23" s="34" t="str">
        <f>IF(INT(MOD(F303,64)/32)=1,"📬 Получатель АПК #"&amp;IFERROR(F314*256+F313,"")*1,"➖ Поле отсутствует")</f>
        <v>📬 Получатель АПК #2</v>
      </c>
    </row>
    <row r="24" spans="2:8" ht="19.5" customHeight="1" x14ac:dyDescent="0.3">
      <c r="B24" s="31" t="str">
        <f>IF(INT(MOD(F303,64)/32)=1,"TTL — Time To Live","TTL (не используется, RTE=0)")</f>
        <v>TTL — Time To Live</v>
      </c>
      <c r="C24" s="32" t="s">
        <v>47</v>
      </c>
      <c r="D24" s="32" t="str">
        <f>IF(INT(MOD(F303,64)/32)=1,E315,"—")</f>
        <v>03</v>
      </c>
      <c r="E24" s="32">
        <f>IF(INT(MOD(F303,64)/32)=1,F315,"")</f>
        <v>3</v>
      </c>
      <c r="F24" s="33" t="str">
        <f>IF(INT(MOD(F303,64)/32)=1,G315,"—")</f>
        <v>00000011</v>
      </c>
      <c r="G24" s="34" t="s">
        <v>48</v>
      </c>
      <c r="H24" s="34" t="str">
        <f>IF(INT(MOD(F303,64)/32)=1,"⏱️ TTL = "&amp;F315&amp;" хопов","➖ Поле отсутствует")</f>
        <v>⏱️ TTL = 3 хопов</v>
      </c>
    </row>
    <row r="25" spans="2:8" ht="19.5" customHeight="1" x14ac:dyDescent="0.3">
      <c r="B25" s="17" t="s">
        <v>49</v>
      </c>
      <c r="C25" s="18">
        <f>F304</f>
        <v>16</v>
      </c>
      <c r="D25" s="18" t="str">
        <f>IFERROR(UPPER(TRIM(MID(SUBSTITUTE(B4," ",REPT(" ",10)),(F304-1)*12+1,10))),"?")</f>
        <v>02</v>
      </c>
      <c r="E25" s="18">
        <f>IFERROR(HEX2DEC(UPPER(TRIM(MID(SUBSTITUTE(B4," ",REPT(" ",10)),(F304-1)*12+1,10)))),"?")</f>
        <v>2</v>
      </c>
      <c r="F25" s="18" t="s">
        <v>22</v>
      </c>
      <c r="G25" s="20" t="s">
        <v>50</v>
      </c>
      <c r="H25" s="20" t="s">
        <v>51</v>
      </c>
    </row>
    <row r="27" spans="2:8" ht="15" customHeight="1" x14ac:dyDescent="0.3">
      <c r="B27" s="59" t="s">
        <v>52</v>
      </c>
      <c r="C27" s="53"/>
      <c r="D27" s="53"/>
      <c r="E27" s="53"/>
      <c r="F27" s="53"/>
      <c r="G27" s="53"/>
      <c r="H27" s="54"/>
    </row>
    <row r="28" spans="2:8" ht="34.5" customHeight="1" x14ac:dyDescent="0.3">
      <c r="B28" s="67" t="s">
        <v>53</v>
      </c>
      <c r="C28" s="53"/>
      <c r="D28" s="53"/>
      <c r="E28" s="53"/>
      <c r="F28" s="53"/>
      <c r="G28" s="53"/>
      <c r="H28" s="54"/>
    </row>
    <row r="29" spans="2:8" ht="19.5" customHeight="1" x14ac:dyDescent="0.3">
      <c r="B29" s="65" t="str">
        <f>IFERROR("▶ PT="&amp;F310&amp;": "&amp;IF(F310=0,"RESPONSE — содержит RPID(2)+PR(1)+SDR-записи",IF(F310=1,"APPDATA — содержит SDR-записи",IF(F310=2,"SIGNED_APPDATA — SIGL(2)+SIGD+SDR-записи","?"))),"?")</f>
        <v>▶ PT=1: APPDATA — содержит SDR-записи</v>
      </c>
      <c r="C29" s="53"/>
      <c r="D29" s="53"/>
      <c r="E29" s="53"/>
      <c r="F29" s="53"/>
      <c r="G29" s="53"/>
      <c r="H29" s="54"/>
    </row>
    <row r="30" spans="2:8" ht="19.5" customHeight="1" x14ac:dyDescent="0.3">
      <c r="B30" s="31" t="str">
        <f>IF(F310=0,"RPID — Response Packet ID","(для APPDATA: первая SDR-запись начинается здесь →)")</f>
        <v>(для APPDATA: первая SDR-запись начинается здесь →)</v>
      </c>
      <c r="C30" s="33" t="str">
        <f>IF(F310=0,F304&amp;"-"&amp;(F304+1),"—")</f>
        <v>—</v>
      </c>
      <c r="D30" s="33" t="str">
        <f>IF(F310=0,E312&amp;" "&amp;E313,"—")</f>
        <v>—</v>
      </c>
      <c r="E30" s="32" t="str">
        <f>IF(F310=0,IFERROR(F313*256+F312,""),"—")</f>
        <v>—</v>
      </c>
      <c r="F30" s="32" t="s">
        <v>22</v>
      </c>
      <c r="G30" s="34" t="s">
        <v>54</v>
      </c>
      <c r="H30" s="34" t="str">
        <f>IF(F310=0,"📩 Подтверждение пакета #"&amp;IFERROR(F313*256+F312,"")*1,"➖")</f>
        <v>➖</v>
      </c>
    </row>
    <row r="31" spans="2:8" ht="19.5" customHeight="1" x14ac:dyDescent="0.3">
      <c r="B31" s="31" t="str">
        <f>IF(F310=0,"PR — Processing Result (RESPONSE)","(SDR-запись 1, поле RL)")</f>
        <v>(SDR-запись 1, поле RL)</v>
      </c>
      <c r="C31" s="33" t="str">
        <f>IF(F310=0,F304+2,"—")</f>
        <v>—</v>
      </c>
      <c r="D31" s="32" t="str">
        <f>IF(F310=0,E314,"—")</f>
        <v>—</v>
      </c>
      <c r="E31" s="32" t="str">
        <f>IF(F310=0,F314,"—")</f>
        <v>—</v>
      </c>
      <c r="F31" s="33" t="str">
        <f>IF(F310=0,G314,"—")</f>
        <v>—</v>
      </c>
      <c r="G31" s="34" t="s">
        <v>55</v>
      </c>
      <c r="H31" s="34" t="str">
        <f>IF(F310=0,IF(F314=0,"✅ EGTS_PC_OK",IF(F314=1,"⏳ IN_PROGRESS",IF(F314=128,"❌ UNS_PROTOCOL",IF(F314=131,"❌ INC_HEADERFORM",IF(F314=132,"❌ INC_DATAFORM",IF(F314=137,"❌ HEADERCRC_ERROR",IF(F314=138,"❌ DATACRC_ERROR","⚠️ Код "&amp;F314))))))),"➖")</f>
        <v>➖</v>
      </c>
    </row>
    <row r="33" spans="2:8" ht="15" customHeight="1" x14ac:dyDescent="0.3">
      <c r="B33" s="59" t="s">
        <v>56</v>
      </c>
      <c r="C33" s="53"/>
      <c r="D33" s="53"/>
      <c r="E33" s="53"/>
      <c r="F33" s="53"/>
      <c r="G33" s="53"/>
      <c r="H33" s="54"/>
    </row>
    <row r="34" spans="2:8" ht="19.5" customHeight="1" x14ac:dyDescent="0.3">
      <c r="B34" s="9" t="s">
        <v>57</v>
      </c>
      <c r="C34" s="9" t="s">
        <v>3</v>
      </c>
      <c r="D34" s="9" t="s">
        <v>4</v>
      </c>
      <c r="E34" s="9" t="s">
        <v>5</v>
      </c>
      <c r="F34" s="9" t="s">
        <v>58</v>
      </c>
      <c r="G34" s="9" t="s">
        <v>7</v>
      </c>
      <c r="H34" s="9" t="s">
        <v>59</v>
      </c>
    </row>
    <row r="35" spans="2:8" ht="19.5" customHeight="1" x14ac:dyDescent="0.3">
      <c r="B35" s="23" t="s">
        <v>60</v>
      </c>
      <c r="C35" s="16" t="s">
        <v>61</v>
      </c>
      <c r="D35" s="2" t="s">
        <v>62</v>
      </c>
      <c r="E35" s="15"/>
      <c r="F35" s="15"/>
      <c r="G35" s="2" t="s">
        <v>63</v>
      </c>
      <c r="H35" s="2"/>
    </row>
    <row r="36" spans="2:8" ht="19.5" customHeight="1" x14ac:dyDescent="0.3">
      <c r="B36" s="23" t="s">
        <v>64</v>
      </c>
      <c r="C36" s="16" t="s">
        <v>65</v>
      </c>
      <c r="D36" s="2" t="s">
        <v>62</v>
      </c>
      <c r="E36" s="15"/>
      <c r="F36" s="15"/>
      <c r="G36" s="2" t="s">
        <v>66</v>
      </c>
      <c r="H36" s="2"/>
    </row>
    <row r="37" spans="2:8" ht="19.5" customHeight="1" x14ac:dyDescent="0.3">
      <c r="B37" s="23" t="s">
        <v>67</v>
      </c>
      <c r="C37" s="16" t="s">
        <v>68</v>
      </c>
      <c r="D37" s="2" t="s">
        <v>62</v>
      </c>
      <c r="E37" s="15"/>
      <c r="F37" s="15"/>
      <c r="G37" s="2" t="s">
        <v>69</v>
      </c>
      <c r="H37" s="2"/>
    </row>
    <row r="38" spans="2:8" ht="19.5" customHeight="1" x14ac:dyDescent="0.3">
      <c r="B38" s="3" t="s">
        <v>70</v>
      </c>
      <c r="C38" s="35"/>
      <c r="D38" s="64" t="str">
        <f>HYPERLINK("#SDR_ЗАПИСЬ!A1","→ Открыть лист SDR_ЗАПИСЬ")</f>
        <v>→ Открыть лист SDR_ЗАПИСЬ</v>
      </c>
      <c r="E38" s="53"/>
      <c r="F38" s="53"/>
      <c r="G38" s="53"/>
      <c r="H38" s="54"/>
    </row>
    <row r="40" spans="2:8" ht="15" customHeight="1" x14ac:dyDescent="0.3">
      <c r="B40" s="59" t="s">
        <v>71</v>
      </c>
      <c r="C40" s="53"/>
      <c r="D40" s="53"/>
      <c r="E40" s="53"/>
      <c r="F40" s="53"/>
      <c r="G40" s="53"/>
      <c r="H40" s="54"/>
    </row>
    <row r="41" spans="2:8" ht="19.5" customHeight="1" x14ac:dyDescent="0.3">
      <c r="B41" s="17" t="s">
        <v>72</v>
      </c>
      <c r="C41" s="19" t="s">
        <v>73</v>
      </c>
      <c r="D41" s="18" t="s">
        <v>22</v>
      </c>
      <c r="E41" s="18" t="s">
        <v>22</v>
      </c>
      <c r="F41" s="18" t="s">
        <v>22</v>
      </c>
      <c r="G41" s="20" t="s">
        <v>74</v>
      </c>
      <c r="H41" s="20" t="s">
        <v>75</v>
      </c>
    </row>
    <row r="299" spans="4:7" ht="15" hidden="1" customHeight="1" x14ac:dyDescent="0.3">
      <c r="D299" t="s">
        <v>76</v>
      </c>
    </row>
    <row r="300" spans="4:7" ht="15" hidden="1" customHeight="1" x14ac:dyDescent="0.3"/>
    <row r="301" spans="4:7" ht="15" hidden="1" customHeight="1" x14ac:dyDescent="0.3">
      <c r="D301" t="s">
        <v>77</v>
      </c>
      <c r="E301" t="str">
        <f>IFERROR(UPPER(TRIM(MID(SUBSTITUTE(B4," ",REPT(" ",10)),(1-1)*12+1,10))),"")</f>
        <v>01</v>
      </c>
      <c r="F301">
        <f t="shared" ref="F301:F332" si="2">IFERROR(HEX2DEC(E301),"")</f>
        <v>1</v>
      </c>
      <c r="G301" t="str">
        <f t="shared" ref="G301:G332" si="3">IFERROR(DEC2BIN(F301,8),"")</f>
        <v>00000001</v>
      </c>
    </row>
    <row r="302" spans="4:7" ht="15" hidden="1" customHeight="1" x14ac:dyDescent="0.3">
      <c r="D302" t="s">
        <v>78</v>
      </c>
      <c r="E302" t="str">
        <f>IFERROR(UPPER(TRIM(MID(SUBSTITUTE(B4," ",REPT(" ",10)),(2-1)*12+1,10))),"")</f>
        <v>00</v>
      </c>
      <c r="F302">
        <f t="shared" si="2"/>
        <v>0</v>
      </c>
      <c r="G302" t="str">
        <f t="shared" si="3"/>
        <v>00000000</v>
      </c>
    </row>
    <row r="303" spans="4:7" ht="15" hidden="1" customHeight="1" x14ac:dyDescent="0.3">
      <c r="D303" t="s">
        <v>79</v>
      </c>
      <c r="E303" t="str">
        <f>IFERROR(UPPER(TRIM(MID(SUBSTITUTE(B4," ",REPT(" ",10)),(3-1)*12+1,10))),"")</f>
        <v>22</v>
      </c>
      <c r="F303">
        <f t="shared" si="2"/>
        <v>34</v>
      </c>
      <c r="G303" t="str">
        <f t="shared" si="3"/>
        <v>00100010</v>
      </c>
    </row>
    <row r="304" spans="4:7" ht="15" hidden="1" customHeight="1" x14ac:dyDescent="0.3">
      <c r="D304" t="s">
        <v>80</v>
      </c>
      <c r="E304" t="str">
        <f>IFERROR(UPPER(TRIM(MID(SUBSTITUTE(B4," ",REPT(" ",10)),(4-1)*12+1,10))),"")</f>
        <v>10</v>
      </c>
      <c r="F304">
        <f t="shared" si="2"/>
        <v>16</v>
      </c>
      <c r="G304" t="str">
        <f t="shared" si="3"/>
        <v>00010000</v>
      </c>
    </row>
    <row r="305" spans="4:7" ht="15" hidden="1" customHeight="1" x14ac:dyDescent="0.3">
      <c r="D305" t="s">
        <v>81</v>
      </c>
      <c r="E305" t="str">
        <f>IFERROR(UPPER(TRIM(MID(SUBSTITUTE(B4," ",REPT(" ",10)),(5-1)*12+1,10))),"")</f>
        <v>00</v>
      </c>
      <c r="F305">
        <f t="shared" si="2"/>
        <v>0</v>
      </c>
      <c r="G305" t="str">
        <f t="shared" si="3"/>
        <v>00000000</v>
      </c>
    </row>
    <row r="306" spans="4:7" ht="15" hidden="1" customHeight="1" x14ac:dyDescent="0.3">
      <c r="D306" t="s">
        <v>82</v>
      </c>
      <c r="E306" t="str">
        <f>IFERROR(UPPER(TRIM(MID(SUBSTITUTE(B4," ",REPT(" ",10)),(6-1)*12+1,10))),"")</f>
        <v>8F</v>
      </c>
      <c r="F306">
        <f t="shared" si="2"/>
        <v>143</v>
      </c>
      <c r="G306" t="str">
        <f t="shared" si="3"/>
        <v>10001111</v>
      </c>
    </row>
    <row r="307" spans="4:7" ht="15" hidden="1" customHeight="1" x14ac:dyDescent="0.3">
      <c r="D307" t="s">
        <v>83</v>
      </c>
      <c r="E307" t="str">
        <f>IFERROR(UPPER(TRIM(MID(SUBSTITUTE(B4," ",REPT(" ",10)),(7-1)*12+1,10))),"")</f>
        <v>00</v>
      </c>
      <c r="F307">
        <f t="shared" si="2"/>
        <v>0</v>
      </c>
      <c r="G307" t="str">
        <f t="shared" si="3"/>
        <v>00000000</v>
      </c>
    </row>
    <row r="308" spans="4:7" ht="15" hidden="1" customHeight="1" x14ac:dyDescent="0.3">
      <c r="D308" t="s">
        <v>84</v>
      </c>
      <c r="E308" t="str">
        <f>IFERROR(UPPER(TRIM(MID(SUBSTITUTE(B4," ",REPT(" ",10)),(8-1)*12+1,10))),"")</f>
        <v>34</v>
      </c>
      <c r="F308">
        <f t="shared" si="2"/>
        <v>52</v>
      </c>
      <c r="G308" t="str">
        <f t="shared" si="3"/>
        <v>00110100</v>
      </c>
    </row>
    <row r="309" spans="4:7" ht="15" hidden="1" customHeight="1" x14ac:dyDescent="0.3">
      <c r="D309" t="s">
        <v>85</v>
      </c>
      <c r="E309" t="str">
        <f>IFERROR(UPPER(TRIM(MID(SUBSTITUTE(B4," ",REPT(" ",10)),(9-1)*12+1,10))),"")</f>
        <v>12</v>
      </c>
      <c r="F309">
        <f t="shared" si="2"/>
        <v>18</v>
      </c>
      <c r="G309" t="str">
        <f t="shared" si="3"/>
        <v>00010010</v>
      </c>
    </row>
    <row r="310" spans="4:7" ht="15" hidden="1" customHeight="1" x14ac:dyDescent="0.3">
      <c r="D310" t="s">
        <v>86</v>
      </c>
      <c r="E310" t="str">
        <f>IFERROR(UPPER(TRIM(MID(SUBSTITUTE(B4," ",REPT(" ",10)),(10-1)*12+1,10))),"")</f>
        <v>01</v>
      </c>
      <c r="F310">
        <f t="shared" si="2"/>
        <v>1</v>
      </c>
      <c r="G310" t="str">
        <f t="shared" si="3"/>
        <v>00000001</v>
      </c>
    </row>
    <row r="311" spans="4:7" ht="15" hidden="1" customHeight="1" x14ac:dyDescent="0.3">
      <c r="D311" t="s">
        <v>87</v>
      </c>
      <c r="E311" t="str">
        <f>IFERROR(UPPER(TRIM(MID(SUBSTITUTE(B4," ",REPT(" ",10)),(11-1)*12+1,10))),"")</f>
        <v>01</v>
      </c>
      <c r="F311">
        <f t="shared" si="2"/>
        <v>1</v>
      </c>
      <c r="G311" t="str">
        <f t="shared" si="3"/>
        <v>00000001</v>
      </c>
    </row>
    <row r="312" spans="4:7" ht="15" hidden="1" customHeight="1" x14ac:dyDescent="0.3">
      <c r="D312" t="s">
        <v>88</v>
      </c>
      <c r="E312" t="str">
        <f>IFERROR(UPPER(TRIM(MID(SUBSTITUTE(B4," ",REPT(" ",10)),(12-1)*12+1,10))),"")</f>
        <v>00</v>
      </c>
      <c r="F312">
        <f t="shared" si="2"/>
        <v>0</v>
      </c>
      <c r="G312" t="str">
        <f t="shared" si="3"/>
        <v>00000000</v>
      </c>
    </row>
    <row r="313" spans="4:7" ht="15" hidden="1" customHeight="1" x14ac:dyDescent="0.3">
      <c r="D313" t="s">
        <v>89</v>
      </c>
      <c r="E313" t="str">
        <f>IFERROR(UPPER(TRIM(MID(SUBSTITUTE(B4," ",REPT(" ",10)),(13-1)*12+1,10))),"")</f>
        <v>02</v>
      </c>
      <c r="F313">
        <f t="shared" si="2"/>
        <v>2</v>
      </c>
      <c r="G313" t="str">
        <f t="shared" si="3"/>
        <v>00000010</v>
      </c>
    </row>
    <row r="314" spans="4:7" ht="15" hidden="1" customHeight="1" x14ac:dyDescent="0.3">
      <c r="D314" t="s">
        <v>90</v>
      </c>
      <c r="E314" t="str">
        <f>IFERROR(UPPER(TRIM(MID(SUBSTITUTE(B4," ",REPT(" ",10)),(14-1)*12+1,10))),"")</f>
        <v>00</v>
      </c>
      <c r="F314">
        <f t="shared" si="2"/>
        <v>0</v>
      </c>
      <c r="G314" t="str">
        <f t="shared" si="3"/>
        <v>00000000</v>
      </c>
    </row>
    <row r="315" spans="4:7" ht="15" hidden="1" customHeight="1" x14ac:dyDescent="0.3">
      <c r="D315" t="s">
        <v>91</v>
      </c>
      <c r="E315" t="str">
        <f>IFERROR(UPPER(TRIM(MID(SUBSTITUTE(B4," ",REPT(" ",10)),(15-1)*12+1,10))),"")</f>
        <v>03</v>
      </c>
      <c r="F315">
        <f t="shared" si="2"/>
        <v>3</v>
      </c>
      <c r="G315" t="str">
        <f t="shared" si="3"/>
        <v>00000011</v>
      </c>
    </row>
    <row r="316" spans="4:7" ht="15" hidden="1" customHeight="1" x14ac:dyDescent="0.3">
      <c r="D316" t="s">
        <v>92</v>
      </c>
      <c r="E316" t="str">
        <f>IFERROR(UPPER(TRIM(MID(SUBSTITUTE(B4," ",REPT(" ",10)),(16-1)*12+1,10))),"")</f>
        <v>02</v>
      </c>
      <c r="F316">
        <f t="shared" si="2"/>
        <v>2</v>
      </c>
      <c r="G316" t="str">
        <f t="shared" si="3"/>
        <v>00000010</v>
      </c>
    </row>
    <row r="317" spans="4:7" ht="15" hidden="1" customHeight="1" x14ac:dyDescent="0.3">
      <c r="D317" t="s">
        <v>93</v>
      </c>
      <c r="E317" t="str">
        <f>IFERROR(UPPER(TRIM(MID(SUBSTITUTE(B4," ",REPT(" ",10)),(17-1)*12+1,10))),"")</f>
        <v>7C</v>
      </c>
      <c r="F317">
        <f t="shared" si="2"/>
        <v>124</v>
      </c>
      <c r="G317" t="str">
        <f t="shared" si="3"/>
        <v>01111100</v>
      </c>
    </row>
    <row r="318" spans="4:7" ht="15" hidden="1" customHeight="1" x14ac:dyDescent="0.3">
      <c r="D318" t="s">
        <v>94</v>
      </c>
      <c r="E318" t="str">
        <f>IFERROR(UPPER(TRIM(MID(SUBSTITUTE(B4," ",REPT(" ",10)),(18-1)*12+1,10))),"")</f>
        <v>00</v>
      </c>
      <c r="F318">
        <f t="shared" si="2"/>
        <v>0</v>
      </c>
      <c r="G318" t="str">
        <f t="shared" si="3"/>
        <v>00000000</v>
      </c>
    </row>
    <row r="319" spans="4:7" ht="15" hidden="1" customHeight="1" x14ac:dyDescent="0.3">
      <c r="D319" t="s">
        <v>95</v>
      </c>
      <c r="E319" t="str">
        <f>IFERROR(UPPER(TRIM(MID(SUBSTITUTE(B4," ",REPT(" ",10)),(19-1)*12+1,10))),"")</f>
        <v>01</v>
      </c>
      <c r="F319">
        <f t="shared" si="2"/>
        <v>1</v>
      </c>
      <c r="G319" t="str">
        <f t="shared" si="3"/>
        <v>00000001</v>
      </c>
    </row>
    <row r="320" spans="4:7" ht="15" hidden="1" customHeight="1" x14ac:dyDescent="0.3">
      <c r="D320" t="s">
        <v>96</v>
      </c>
      <c r="E320" t="str">
        <f>IFERROR(UPPER(TRIM(MID(SUBSTITUTE(B4," ",REPT(" ",10)),(20-1)*12+1,10))),"")</f>
        <v>00</v>
      </c>
      <c r="F320">
        <f t="shared" si="2"/>
        <v>0</v>
      </c>
      <c r="G320" t="str">
        <f t="shared" si="3"/>
        <v>00000000</v>
      </c>
    </row>
    <row r="321" spans="4:7" ht="15" hidden="1" customHeight="1" x14ac:dyDescent="0.3">
      <c r="D321" t="s">
        <v>97</v>
      </c>
      <c r="E321" t="str">
        <f>IFERROR(UPPER(TRIM(MID(SUBSTITUTE(B4," ",REPT(" ",10)),(21-1)*12+1,10))),"")</f>
        <v>17</v>
      </c>
      <c r="F321">
        <f t="shared" si="2"/>
        <v>23</v>
      </c>
      <c r="G321" t="str">
        <f t="shared" si="3"/>
        <v>00010111</v>
      </c>
    </row>
    <row r="322" spans="4:7" ht="15" hidden="1" customHeight="1" x14ac:dyDescent="0.3">
      <c r="D322" t="s">
        <v>98</v>
      </c>
      <c r="E322" t="str">
        <f>IFERROR(UPPER(TRIM(MID(SUBSTITUTE(B4," ",REPT(" ",10)),(22-1)*12+1,10))),"")</f>
        <v>04</v>
      </c>
      <c r="F322">
        <f t="shared" si="2"/>
        <v>4</v>
      </c>
      <c r="G322" t="str">
        <f t="shared" si="3"/>
        <v>00000100</v>
      </c>
    </row>
    <row r="323" spans="4:7" ht="15" hidden="1" customHeight="1" x14ac:dyDescent="0.3">
      <c r="D323" t="s">
        <v>99</v>
      </c>
      <c r="E323" t="str">
        <f>IFERROR(UPPER(TRIM(MID(SUBSTITUTE(B4," ",REPT(" ",10)),(23-1)*12+1,10))),"")</f>
        <v>03</v>
      </c>
      <c r="F323">
        <f t="shared" si="2"/>
        <v>3</v>
      </c>
      <c r="G323" t="str">
        <f t="shared" si="3"/>
        <v>00000011</v>
      </c>
    </row>
    <row r="324" spans="4:7" ht="15" hidden="1" customHeight="1" x14ac:dyDescent="0.3">
      <c r="D324" t="s">
        <v>100</v>
      </c>
      <c r="E324" t="str">
        <f>IFERROR(UPPER(TRIM(MID(SUBSTITUTE(B4," ",REPT(" ",10)),(24-1)*12+1,10))),"")</f>
        <v>02</v>
      </c>
      <c r="F324">
        <f t="shared" si="2"/>
        <v>2</v>
      </c>
      <c r="G324" t="str">
        <f t="shared" si="3"/>
        <v>00000010</v>
      </c>
    </row>
    <row r="325" spans="4:7" ht="15" hidden="1" customHeight="1" x14ac:dyDescent="0.3">
      <c r="D325" t="s">
        <v>101</v>
      </c>
      <c r="E325" t="str">
        <f>IFERROR(UPPER(TRIM(MID(SUBSTITUTE(B4," ",REPT(" ",10)),(25-1)*12+1,10))),"")</f>
        <v>01</v>
      </c>
      <c r="F325">
        <f t="shared" si="2"/>
        <v>1</v>
      </c>
      <c r="G325" t="str">
        <f t="shared" si="3"/>
        <v>00000001</v>
      </c>
    </row>
    <row r="326" spans="4:7" ht="15" hidden="1" customHeight="1" x14ac:dyDescent="0.3">
      <c r="D326" t="s">
        <v>102</v>
      </c>
      <c r="E326" t="str">
        <f>IFERROR(UPPER(TRIM(MID(SUBSTITUTE(B4," ",REPT(" ",10)),(26-1)*12+1,10))),"")</f>
        <v>44</v>
      </c>
      <c r="F326">
        <f t="shared" si="2"/>
        <v>68</v>
      </c>
      <c r="G326" t="str">
        <f t="shared" si="3"/>
        <v>01000100</v>
      </c>
    </row>
    <row r="327" spans="4:7" ht="15" hidden="1" customHeight="1" x14ac:dyDescent="0.3">
      <c r="D327" t="s">
        <v>103</v>
      </c>
      <c r="E327" t="str">
        <f>IFERROR(UPPER(TRIM(MID(SUBSTITUTE(B4," ",REPT(" ",10)),(27-1)*12+1,10))),"")</f>
        <v>33</v>
      </c>
      <c r="F327">
        <f t="shared" si="2"/>
        <v>51</v>
      </c>
      <c r="G327" t="str">
        <f t="shared" si="3"/>
        <v>00110011</v>
      </c>
    </row>
    <row r="328" spans="4:7" ht="15" hidden="1" customHeight="1" x14ac:dyDescent="0.3">
      <c r="D328" t="s">
        <v>104</v>
      </c>
      <c r="E328" t="str">
        <f>IFERROR(UPPER(TRIM(MID(SUBSTITUTE(B4," ",REPT(" ",10)),(28-1)*12+1,10))),"")</f>
        <v>22</v>
      </c>
      <c r="F328">
        <f t="shared" si="2"/>
        <v>34</v>
      </c>
      <c r="G328" t="str">
        <f t="shared" si="3"/>
        <v>00100010</v>
      </c>
    </row>
    <row r="329" spans="4:7" ht="15" hidden="1" customHeight="1" x14ac:dyDescent="0.3">
      <c r="D329" t="s">
        <v>105</v>
      </c>
      <c r="E329" t="str">
        <f>IFERROR(UPPER(TRIM(MID(SUBSTITUTE(B4," ",REPT(" ",10)),(29-1)*12+1,10))),"")</f>
        <v>11</v>
      </c>
      <c r="F329">
        <f t="shared" si="2"/>
        <v>17</v>
      </c>
      <c r="G329" t="str">
        <f t="shared" si="3"/>
        <v>00010001</v>
      </c>
    </row>
    <row r="330" spans="4:7" ht="15" hidden="1" customHeight="1" x14ac:dyDescent="0.3">
      <c r="D330" t="s">
        <v>106</v>
      </c>
      <c r="E330" t="str">
        <f>IFERROR(UPPER(TRIM(MID(SUBSTITUTE(B4," ",REPT(" ",10)),(30-1)*12+1,10))),"")</f>
        <v>25</v>
      </c>
      <c r="F330">
        <f t="shared" si="2"/>
        <v>37</v>
      </c>
      <c r="G330" t="str">
        <f t="shared" si="3"/>
        <v>00100101</v>
      </c>
    </row>
    <row r="331" spans="4:7" ht="15" hidden="1" customHeight="1" x14ac:dyDescent="0.3">
      <c r="D331" t="s">
        <v>107</v>
      </c>
      <c r="E331" t="str">
        <f>IFERROR(UPPER(TRIM(MID(SUBSTITUTE(B4," ",REPT(" ",10)),(31-1)*12+1,10))),"")</f>
        <v>42</v>
      </c>
      <c r="F331">
        <f t="shared" si="2"/>
        <v>66</v>
      </c>
      <c r="G331" t="str">
        <f t="shared" si="3"/>
        <v>01000010</v>
      </c>
    </row>
    <row r="332" spans="4:7" ht="15" hidden="1" customHeight="1" x14ac:dyDescent="0.3">
      <c r="D332" t="s">
        <v>108</v>
      </c>
      <c r="E332" t="str">
        <f>IFERROR(UPPER(TRIM(MID(SUBSTITUTE(B4," ",REPT(" ",10)),(32-1)*12+1,10))),"")</f>
        <v>56</v>
      </c>
      <c r="F332">
        <f t="shared" si="2"/>
        <v>86</v>
      </c>
      <c r="G332" t="str">
        <f t="shared" si="3"/>
        <v>01010110</v>
      </c>
    </row>
    <row r="333" spans="4:7" ht="15" hidden="1" customHeight="1" x14ac:dyDescent="0.3">
      <c r="D333" t="s">
        <v>109</v>
      </c>
      <c r="E333" t="str">
        <f>IFERROR(UPPER(TRIM(MID(SUBSTITUTE(B4," ",REPT(" ",10)),(33-1)*12+1,10))),"")</f>
        <v>1A</v>
      </c>
      <c r="F333">
        <f t="shared" ref="F333:F350" si="4">IFERROR(HEX2DEC(E333),"")</f>
        <v>26</v>
      </c>
      <c r="G333" t="str">
        <f t="shared" ref="G333:G350" si="5">IFERROR(DEC2BIN(F333,8),"")</f>
        <v>00011010</v>
      </c>
    </row>
    <row r="334" spans="4:7" ht="15" hidden="1" customHeight="1" x14ac:dyDescent="0.3">
      <c r="D334" t="s">
        <v>110</v>
      </c>
      <c r="E334" t="str">
        <f>IFERROR(UPPER(TRIM(MID(SUBSTITUTE(B4," ",REPT(" ",10)),(34-1)*12+1,10))),"")</f>
        <v>02</v>
      </c>
      <c r="F334">
        <f t="shared" si="4"/>
        <v>2</v>
      </c>
      <c r="G334" t="str">
        <f t="shared" si="5"/>
        <v>00000010</v>
      </c>
    </row>
    <row r="335" spans="4:7" ht="15" hidden="1" customHeight="1" x14ac:dyDescent="0.3">
      <c r="D335" t="s">
        <v>111</v>
      </c>
      <c r="E335" t="str">
        <f>IFERROR(UPPER(TRIM(MID(SUBSTITUTE(B4," ",REPT(" ",10)),(35-1)*12+1,10))),"")</f>
        <v>02</v>
      </c>
      <c r="F335">
        <f t="shared" si="4"/>
        <v>2</v>
      </c>
      <c r="G335" t="str">
        <f t="shared" si="5"/>
        <v>00000010</v>
      </c>
    </row>
    <row r="336" spans="4:7" ht="15" hidden="1" customHeight="1" x14ac:dyDescent="0.3">
      <c r="D336" t="s">
        <v>112</v>
      </c>
      <c r="E336" t="str">
        <f>IFERROR(UPPER(TRIM(MID(SUBSTITUTE(B4," ",REPT(" ",10)),(36-1)*12+1,10))),"")</f>
        <v>10</v>
      </c>
      <c r="F336">
        <f t="shared" si="4"/>
        <v>16</v>
      </c>
      <c r="G336" t="str">
        <f t="shared" si="5"/>
        <v>00010000</v>
      </c>
    </row>
    <row r="337" spans="4:7" ht="15" hidden="1" customHeight="1" x14ac:dyDescent="0.3">
      <c r="D337" t="s">
        <v>113</v>
      </c>
      <c r="E337" t="str">
        <f>IFERROR(UPPER(TRIM(MID(SUBSTITUTE(B4," ",REPT(" ",10)),(37-1)*12+1,10))),"")</f>
        <v>18</v>
      </c>
      <c r="F337">
        <f t="shared" si="4"/>
        <v>24</v>
      </c>
      <c r="G337" t="str">
        <f t="shared" si="5"/>
        <v>00011000</v>
      </c>
    </row>
    <row r="338" spans="4:7" ht="15" hidden="1" customHeight="1" x14ac:dyDescent="0.3">
      <c r="D338" t="s">
        <v>114</v>
      </c>
      <c r="E338" t="str">
        <f>IFERROR(UPPER(TRIM(MID(SUBSTITUTE(B4," ",REPT(" ",10)),(38-1)*12+1,10))),"")</f>
        <v>00</v>
      </c>
      <c r="F338">
        <f t="shared" si="4"/>
        <v>0</v>
      </c>
      <c r="G338" t="str">
        <f t="shared" si="5"/>
        <v>00000000</v>
      </c>
    </row>
    <row r="339" spans="4:7" ht="15" hidden="1" customHeight="1" x14ac:dyDescent="0.3">
      <c r="D339" t="s">
        <v>115</v>
      </c>
      <c r="E339" t="str">
        <f>IFERROR(UPPER(TRIM(MID(SUBSTITUTE(B4," ",REPT(" ",10)),(39-1)*12+1,10))),"")</f>
        <v>25</v>
      </c>
      <c r="F339">
        <f t="shared" si="4"/>
        <v>37</v>
      </c>
      <c r="G339" t="str">
        <f t="shared" si="5"/>
        <v>00100101</v>
      </c>
    </row>
    <row r="340" spans="4:7" ht="15" hidden="1" customHeight="1" x14ac:dyDescent="0.3">
      <c r="D340" t="s">
        <v>116</v>
      </c>
      <c r="E340" t="str">
        <f>IFERROR(UPPER(TRIM(MID(SUBSTITUTE(B4," ",REPT(" ",10)),(40-1)*12+1,10))),"")</f>
        <v>42</v>
      </c>
      <c r="F340">
        <f t="shared" si="4"/>
        <v>66</v>
      </c>
      <c r="G340" t="str">
        <f t="shared" si="5"/>
        <v>01000010</v>
      </c>
    </row>
    <row r="341" spans="4:7" ht="15" hidden="1" customHeight="1" x14ac:dyDescent="0.3">
      <c r="D341" t="s">
        <v>117</v>
      </c>
      <c r="E341" t="str">
        <f>IFERROR(UPPER(TRIM(MID(SUBSTITUTE(B4," ",REPT(" ",10)),(41-1)*12+1,10))),"")</f>
        <v>56</v>
      </c>
      <c r="F341">
        <f t="shared" si="4"/>
        <v>86</v>
      </c>
      <c r="G341" t="str">
        <f t="shared" si="5"/>
        <v>01010110</v>
      </c>
    </row>
    <row r="342" spans="4:7" ht="15" hidden="1" customHeight="1" x14ac:dyDescent="0.3">
      <c r="D342" t="s">
        <v>118</v>
      </c>
      <c r="E342" t="str">
        <f>IFERROR(UPPER(TRIM(MID(SUBSTITUTE(B4," ",REPT(" ",10)),(42-1)*12+1,10))),"")</f>
        <v>1A</v>
      </c>
      <c r="F342">
        <f t="shared" si="4"/>
        <v>26</v>
      </c>
      <c r="G342" t="str">
        <f t="shared" si="5"/>
        <v>00011010</v>
      </c>
    </row>
    <row r="343" spans="4:7" ht="15" hidden="1" customHeight="1" x14ac:dyDescent="0.3">
      <c r="D343" t="s">
        <v>119</v>
      </c>
      <c r="E343" t="str">
        <f>IFERROR(UPPER(TRIM(MID(SUBSTITUTE(B4," ",REPT(" ",10)),(43-1)*12+1,10))),"")</f>
        <v>3D</v>
      </c>
      <c r="F343">
        <f t="shared" si="4"/>
        <v>61</v>
      </c>
      <c r="G343" t="str">
        <f t="shared" si="5"/>
        <v>00111101</v>
      </c>
    </row>
    <row r="344" spans="4:7" ht="15" hidden="1" customHeight="1" x14ac:dyDescent="0.3">
      <c r="D344" t="s">
        <v>120</v>
      </c>
      <c r="E344" t="str">
        <f>IFERROR(UPPER(TRIM(MID(SUBSTITUTE(B4," ",REPT(" ",10)),(44-1)*12+1,10))),"")</f>
        <v>E9</v>
      </c>
      <c r="F344">
        <f t="shared" si="4"/>
        <v>233</v>
      </c>
      <c r="G344" t="str">
        <f t="shared" si="5"/>
        <v>11101001</v>
      </c>
    </row>
    <row r="345" spans="4:7" ht="15" hidden="1" customHeight="1" x14ac:dyDescent="0.3">
      <c r="D345" t="s">
        <v>121</v>
      </c>
      <c r="E345" t="str">
        <f>IFERROR(UPPER(TRIM(MID(SUBSTITUTE(B4," ",REPT(" ",10)),(45-1)*12+1,10))),"")</f>
        <v>93</v>
      </c>
      <c r="F345">
        <f t="shared" si="4"/>
        <v>147</v>
      </c>
      <c r="G345" t="str">
        <f t="shared" si="5"/>
        <v>10010011</v>
      </c>
    </row>
    <row r="346" spans="4:7" ht="15" hidden="1" customHeight="1" x14ac:dyDescent="0.3">
      <c r="D346" t="s">
        <v>122</v>
      </c>
      <c r="E346" t="str">
        <f>IFERROR(UPPER(TRIM(MID(SUBSTITUTE(B4," ",REPT(" ",10)),(46-1)*12+1,10))),"")</f>
        <v>9E</v>
      </c>
      <c r="F346">
        <f t="shared" si="4"/>
        <v>158</v>
      </c>
      <c r="G346" t="str">
        <f t="shared" si="5"/>
        <v>10011110</v>
      </c>
    </row>
    <row r="347" spans="4:7" ht="15" hidden="1" customHeight="1" x14ac:dyDescent="0.3">
      <c r="D347" t="s">
        <v>123</v>
      </c>
      <c r="E347" t="str">
        <f>IFERROR(UPPER(TRIM(MID(SUBSTITUTE(B4," ",REPT(" ",10)),(47-1)*12+1,10))),"")</f>
        <v>24</v>
      </c>
      <c r="F347">
        <f t="shared" si="4"/>
        <v>36</v>
      </c>
      <c r="G347" t="str">
        <f t="shared" si="5"/>
        <v>00100100</v>
      </c>
    </row>
    <row r="348" spans="4:7" ht="15" hidden="1" customHeight="1" x14ac:dyDescent="0.3">
      <c r="D348" t="s">
        <v>124</v>
      </c>
      <c r="E348" t="str">
        <f>IFERROR(UPPER(TRIM(MID(SUBSTITUTE(B4," ",REPT(" ",10)),(48-1)*12+1,10))),"")</f>
        <v>06</v>
      </c>
      <c r="F348">
        <f t="shared" si="4"/>
        <v>6</v>
      </c>
      <c r="G348" t="str">
        <f t="shared" si="5"/>
        <v>00000110</v>
      </c>
    </row>
    <row r="349" spans="4:7" ht="15" hidden="1" customHeight="1" x14ac:dyDescent="0.3">
      <c r="D349" t="s">
        <v>125</v>
      </c>
      <c r="E349" t="str">
        <f>IFERROR(UPPER(TRIM(MID(SUBSTITUTE(B4," ",REPT(" ",10)),(49-1)*12+1,10))),"")</f>
        <v>81</v>
      </c>
      <c r="F349">
        <f t="shared" si="4"/>
        <v>129</v>
      </c>
      <c r="G349" t="str">
        <f t="shared" si="5"/>
        <v>10000001</v>
      </c>
    </row>
    <row r="350" spans="4:7" ht="15" hidden="1" customHeight="1" x14ac:dyDescent="0.3">
      <c r="D350" t="s">
        <v>126</v>
      </c>
      <c r="E350" t="str">
        <f>IFERROR(UPPER(TRIM(MID(SUBSTITUTE(B4," ",REPT(" ",10)),(50-1)*12+1,10))),"")</f>
        <v>35</v>
      </c>
      <c r="F350">
        <f t="shared" si="4"/>
        <v>53</v>
      </c>
      <c r="G350" t="str">
        <f t="shared" si="5"/>
        <v>00110101</v>
      </c>
    </row>
    <row r="351" spans="4:7" ht="15" hidden="1" customHeight="1" x14ac:dyDescent="0.3"/>
  </sheetData>
  <mergeCells count="14">
    <mergeCell ref="B40:H40"/>
    <mergeCell ref="B27:H27"/>
    <mergeCell ref="B3:C3"/>
    <mergeCell ref="B4:H4"/>
    <mergeCell ref="A2:H2"/>
    <mergeCell ref="D38:H38"/>
    <mergeCell ref="B29:H29"/>
    <mergeCell ref="B33:H33"/>
    <mergeCell ref="A1:H1"/>
    <mergeCell ref="E5:H5"/>
    <mergeCell ref="A6:H6"/>
    <mergeCell ref="B28:H28"/>
    <mergeCell ref="B8:H8"/>
    <mergeCell ref="B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4929-48B2-40CB-92E3-631EEA98F94A}">
  <sheetPr>
    <tabColor rgb="FF2E75B6"/>
  </sheetPr>
  <dimension ref="A1:H28"/>
  <sheetViews>
    <sheetView zoomScaleNormal="100" workbookViewId="0">
      <pane xSplit="1" ySplit="5" topLeftCell="D10" activePane="bottomRight" state="frozen"/>
      <selection pane="topRight" activeCell="B1" sqref="B1"/>
      <selection pane="bottomLeft" activeCell="A6" sqref="A6"/>
      <selection pane="bottomRight" activeCell="F19" sqref="F19"/>
    </sheetView>
  </sheetViews>
  <sheetFormatPr defaultColWidth="8.6640625" defaultRowHeight="14.4" x14ac:dyDescent="0.3"/>
  <cols>
    <col min="1" max="1" width="3" customWidth="1"/>
    <col min="2" max="2" width="26" customWidth="1"/>
    <col min="3" max="3" width="11" customWidth="1"/>
    <col min="4" max="4" width="19.44140625" customWidth="1"/>
    <col min="5" max="5" width="17.33203125" customWidth="1"/>
    <col min="6" max="6" width="95.109375" customWidth="1"/>
    <col min="7" max="7" width="38" customWidth="1"/>
    <col min="8" max="8" width="30" customWidth="1"/>
  </cols>
  <sheetData>
    <row r="1" spans="1:8" ht="34.5" customHeight="1" x14ac:dyDescent="0.3">
      <c r="A1" s="52" t="s">
        <v>175</v>
      </c>
      <c r="B1" s="53"/>
      <c r="C1" s="53"/>
      <c r="D1" s="53"/>
      <c r="E1" s="53"/>
      <c r="F1" s="53"/>
      <c r="G1" s="53"/>
      <c r="H1" s="54"/>
    </row>
    <row r="2" spans="1:8" ht="21.75" customHeight="1" x14ac:dyDescent="0.3">
      <c r="B2" s="61" t="s">
        <v>176</v>
      </c>
      <c r="C2" s="53"/>
      <c r="D2" s="53"/>
      <c r="E2" s="53"/>
      <c r="F2" s="53"/>
      <c r="G2" s="53"/>
      <c r="H2" s="54"/>
    </row>
    <row r="3" spans="1:8" ht="27.75" customHeight="1" x14ac:dyDescent="0.3">
      <c r="B3" s="55" t="s">
        <v>349</v>
      </c>
      <c r="C3" s="56"/>
      <c r="D3" s="56"/>
      <c r="E3" s="56"/>
      <c r="F3" s="56"/>
      <c r="G3" s="56"/>
      <c r="H3" s="57"/>
    </row>
    <row r="4" spans="1:8" ht="7.5" customHeight="1" x14ac:dyDescent="0.3">
      <c r="A4" s="58"/>
      <c r="B4" s="53"/>
      <c r="C4" s="53"/>
      <c r="D4" s="53"/>
      <c r="E4" s="53"/>
      <c r="F4" s="53"/>
      <c r="G4" s="53"/>
      <c r="H4" s="54"/>
    </row>
    <row r="5" spans="1:8" ht="24.75" customHeight="1" x14ac:dyDescent="0.3">
      <c r="B5" s="9" t="s">
        <v>177</v>
      </c>
      <c r="C5" s="9" t="s">
        <v>178</v>
      </c>
      <c r="D5" s="9" t="s">
        <v>4</v>
      </c>
      <c r="E5" s="9" t="s">
        <v>5</v>
      </c>
      <c r="F5" s="9" t="s">
        <v>7</v>
      </c>
      <c r="G5" s="9" t="s">
        <v>179</v>
      </c>
      <c r="H5" s="9" t="s">
        <v>180</v>
      </c>
    </row>
    <row r="6" spans="1:8" ht="21.75" customHeight="1" x14ac:dyDescent="0.3">
      <c r="B6" s="10" t="s">
        <v>181</v>
      </c>
      <c r="C6" s="12" t="s">
        <v>182</v>
      </c>
      <c r="D6" s="12" t="str">
        <f>IFERROR(UPPER(TRIM(MID(SUBSTITUTE(B3," ",REPT(" ",10)),(1-1)*12+1,10))),"?")&amp;" "&amp;IFERROR(UPPER(TRIM(MID(SUBSTITUTE(B3," ",REPT(" ",10)),(2-1)*12+1,10))),"?")&amp;" "&amp;IFERROR(UPPER(TRIM(MID(SUBSTITUTE(B3," ",REPT(" ",10)),(3-1)*12+1,10))),"?")&amp;" "&amp;IFERROR(UPPER(TRIM(MID(SUBSTITUTE(B3," ",REPT(" ",10)),(4-1)*12+1,10))),"?")</f>
        <v>25 42 56 1A</v>
      </c>
      <c r="E6" s="11">
        <f>IFERROR(IFERROR(HEX2DEC(UPPER(TRIM(MID(SUBSTITUTE(B3," ",REPT(" ",10)),(4-1)*12+1,10))))," ")*16777216+IFERROR(HEX2DEC(UPPER(TRIM(MID(SUBSTITUTE(B3," ",REPT(" ",10)),(3-1)*12+1,10))))," ")*65536+IFERROR(HEX2DEC(UPPER(TRIM(MID(SUBSTITUTE(B3," ",REPT(" ",10)),(2-1)*12+1,10))))," ")*256+IFERROR(HEX2DEC(UPPER(TRIM(MID(SUBSTITUTE(B3," ",REPT(" ",10)),(1-1)*12+1,10))))," ")," ")</f>
        <v>441860645</v>
      </c>
      <c r="F6" s="13" t="s">
        <v>183</v>
      </c>
      <c r="G6" s="13" t="str">
        <f>IFERROR(TEXT(DATE(2010,1,1)+IFERROR(IFERROR(HEX2DEC(UPPER(TRIM(MID(SUBSTITUTE(B3," ",REPT(" ",10)),(4-1)*12+1,10))))," ")*16777216+IFERROR(HEX2DEC(UPPER(TRIM(MID(SUBSTITUTE(B3," ",REPT(" ",10)),(3-1)*12+1,10))))," ")*65536+IFERROR(HEX2DEC(UPPER(TRIM(MID(SUBSTITUTE(B3," ",REPT(" ",10)),(2-1)*12+1,10))))," ")*256+IFERROR(HEX2DEC(UPPER(TRIM(MID(SUBSTITUTE(B3," ",REPT(" ",10)),(1-1)*12+1,10))))," ")," ")/86400,"DD.MM.YYYY HH:MM:SS"),"")</f>
        <v>DD.MM.YYYY HH:MM:SS</v>
      </c>
      <c r="H6" s="13" t="str">
        <f>IFERROR("🕐 "&amp;TEXT(DATE(2010,1,1)+IFERROR(IFERROR(HEX2DEC(UPPER(TRIM(MID(SUBSTITUTE(B3," ",REPT(" ",10)),(4-1)*12+1,10))))," ")*16777216+IFERROR(HEX2DEC(UPPER(TRIM(MID(SUBSTITUTE(B3," ",REPT(" ",10)),(3-1)*12+1,10))))," ")*65536+IFERROR(HEX2DEC(UPPER(TRIM(MID(SUBSTITUTE(B3," ",REPT(" ",10)),(2-1)*12+1,10))))," ")*256+IFERROR(HEX2DEC(UPPER(TRIM(MID(SUBSTITUTE(B3," ",REPT(" ",10)),(1-1)*12+1,10))))," ")," ")/86400,"DD.MM.YYYY HH:MM:SS")&amp;" UTC","")</f>
        <v>🕐 DD.MM.YYYY HH:MM:SS UTC</v>
      </c>
    </row>
    <row r="7" spans="1:8" ht="21.75" customHeight="1" x14ac:dyDescent="0.3">
      <c r="B7" s="24" t="s">
        <v>184</v>
      </c>
      <c r="C7" s="26" t="s">
        <v>185</v>
      </c>
      <c r="D7" s="26" t="str">
        <f>IFERROR(UPPER(TRIM(MID(SUBSTITUTE(B3," ",REPT(" ",10)),(5-1)*12+1,10))),"?")&amp;" "&amp;IFERROR(UPPER(TRIM(MID(SUBSTITUTE(B3," ",REPT(" ",10)),(6-1)*12+1,10))),"?")&amp;" "&amp;IFERROR(UPPER(TRIM(MID(SUBSTITUTE(B3," ",REPT(" ",10)),(7-1)*12+1,10))),"?")&amp;" "&amp;IFERROR(UPPER(TRIM(MID(SUBSTITUTE(B3," ",REPT(" ",10)),(8-1)*12+1,10))),"?")</f>
        <v>3D E9 93 9E</v>
      </c>
      <c r="E7" s="25">
        <f>IFERROR(IFERROR(HEX2DEC(UPPER(TRIM(MID(SUBSTITUTE(B3," ",REPT(" ",10)),(8-1)*12+1,10))))," ")*16777216+IFERROR(HEX2DEC(UPPER(TRIM(MID(SUBSTITUTE(B3," ",REPT(" ",10)),(7-1)*12+1,10))))," ")*65536+IFERROR(HEX2DEC(UPPER(TRIM(MID(SUBSTITUTE(B3," ",REPT(" ",10)),(6-1)*12+1,10))))," ")*256+IFERROR(HEX2DEC(UPPER(TRIM(MID(SUBSTITUTE(B3," ",REPT(" ",10)),(5-1)*12+1,10))))," ")," ")</f>
        <v>2660493629</v>
      </c>
      <c r="F7" s="1" t="s">
        <v>186</v>
      </c>
      <c r="G7" s="1">
        <f>IFERROR(ROUND(IFERROR(IFERROR(HEX2DEC(UPPER(TRIM(MID(SUBSTITUTE(B3," ",REPT(" ",10)),(8-1)*12+1,10))))," ")*16777216+IFERROR(HEX2DEC(UPPER(TRIM(MID(SUBSTITUTE(B3," ",REPT(" ",10)),(7-1)*12+1,10))))," ")*65536+IFERROR(HEX2DEC(UPPER(TRIM(MID(SUBSTITUTE(B3," ",REPT(" ",10)),(6-1)*12+1,10))))," ")*256+IFERROR(HEX2DEC(UPPER(TRIM(MID(SUBSTITUTE(B3," ",REPT(" ",10)),(5-1)*12+1,10))))," ")," ")*90/4294967295,6),"")</f>
        <v>55.75</v>
      </c>
      <c r="H7" s="1" t="str">
        <f>IFERROR("📍 "&amp;TEXT(ROUND(IFERROR(IFERROR(HEX2DEC(UPPER(TRIM(MID(SUBSTITUTE(B3," ",REPT(" ",10)),(8-1)*12+1,10))))," ")*16777216+IFERROR(HEX2DEC(UPPER(TRIM(MID(SUBSTITUTE(B3," ",REPT(" ",10)),(7-1)*12+1,10))))," ")*65536+IFERROR(HEX2DEC(UPPER(TRIM(MID(SUBSTITUTE(B3," ",REPT(" ",10)),(6-1)*12+1,10))))," ")*256+IFERROR(HEX2DEC(UPPER(TRIM(MID(SUBSTITUTE(B3," ",REPT(" ",10)),(5-1)*12+1,10))))," ")," ")*90/4294967295,6),"0.000000")&amp;"°","")</f>
        <v/>
      </c>
    </row>
    <row r="8" spans="1:8" ht="21.75" customHeight="1" x14ac:dyDescent="0.3">
      <c r="B8" s="24" t="s">
        <v>187</v>
      </c>
      <c r="C8" s="26" t="s">
        <v>188</v>
      </c>
      <c r="D8" s="26" t="str">
        <f>IFERROR(UPPER(TRIM(MID(SUBSTITUTE(B3," ",REPT(" ",10)),(9-1)*12+1,10))),"?")&amp;" "&amp;IFERROR(UPPER(TRIM(MID(SUBSTITUTE(B3," ",REPT(" ",10)),(10-1)*12+1,10))),"?")&amp;" "&amp;IFERROR(UPPER(TRIM(MID(SUBSTITUTE(B3," ",REPT(" ",10)),(11-1)*12+1,10))),"?")&amp;" "&amp;IFERROR(UPPER(TRIM(MID(SUBSTITUTE(B3," ",REPT(" ",10)),(12-1)*12+1,10))),"?")</f>
        <v>24 06 81 35</v>
      </c>
      <c r="E8" s="25">
        <f>IFERROR(IFERROR(HEX2DEC(UPPER(TRIM(MID(SUBSTITUTE(B3," ",REPT(" ",10)),(12-1)*12+1,10))))," ")*16777216+IFERROR(HEX2DEC(UPPER(TRIM(MID(SUBSTITUTE(B3," ",REPT(" ",10)),(11-1)*12+1,10))))," ")*65536+IFERROR(HEX2DEC(UPPER(TRIM(MID(SUBSTITUTE(B3," ",REPT(" ",10)),(10-1)*12+1,10))))," ")*256+IFERROR(HEX2DEC(UPPER(TRIM(MID(SUBSTITUTE(B3," ",REPT(" ",10)),(9-1)*12+1,10))))," ")," ")</f>
        <v>897648164</v>
      </c>
      <c r="F8" s="1" t="s">
        <v>189</v>
      </c>
      <c r="G8" s="1">
        <f>IFERROR(ROUND(IFERROR(IFERROR(HEX2DEC(UPPER(TRIM(MID(SUBSTITUTE(B3," ",REPT(" ",10)),(12-1)*12+1,10))))," ")*16777216+IFERROR(HEX2DEC(UPPER(TRIM(MID(SUBSTITUTE(B3," ",REPT(" ",10)),(11-1)*12+1,10))))," ")*65536+IFERROR(HEX2DEC(UPPER(TRIM(MID(SUBSTITUTE(B3," ",REPT(" ",10)),(10-1)*12+1,10))))," ")*256+IFERROR(HEX2DEC(UPPER(TRIM(MID(SUBSTITUTE(B3," ",REPT(" ",10)),(9-1)*12+1,10))))," ")," ")*180/4294967295,6),"")</f>
        <v>37.619999999999997</v>
      </c>
      <c r="H8" s="1" t="str">
        <f>IFERROR("📍 "&amp;TEXT(ROUND(IFERROR(IFERROR(HEX2DEC(UPPER(TRIM(MID(SUBSTITUTE(B3," ",REPT(" ",10)),(12-1)*12+1,10))))," ")*16777216+IFERROR(HEX2DEC(UPPER(TRIM(MID(SUBSTITUTE(B3," ",REPT(" ",10)),(11-1)*12+1,10))))," ")*65536+IFERROR(HEX2DEC(UPPER(TRIM(MID(SUBSTITUTE(B3," ",REPT(" ",10)),(10-1)*12+1,10))))," ")*256+IFERROR(HEX2DEC(UPPER(TRIM(MID(SUBSTITUTE(B3," ",REPT(" ",10)),(9-1)*12+1,10))))," ")," ")*180/4294967295,6),"0.000000")&amp;"°","")</f>
        <v/>
      </c>
    </row>
    <row r="9" spans="1:8" ht="21.75" customHeight="1" x14ac:dyDescent="0.3">
      <c r="B9" s="17" t="s">
        <v>190</v>
      </c>
      <c r="C9" s="19" t="s">
        <v>191</v>
      </c>
      <c r="D9" s="19" t="str">
        <f>IFERROR(UPPER(TRIM(MID(SUBSTITUTE(B3," ",REPT(" ",10)),(13-1)*12+1,10))),"?")</f>
        <v>FF</v>
      </c>
      <c r="E9" s="18">
        <f>IFERROR(HEX2DEC(UPPER(TRIM(MID(SUBSTITUTE(B3," ",REPT(" ",10)),(13-1)*12+1,10))))," ")</f>
        <v>255</v>
      </c>
      <c r="F9" s="20" t="s">
        <v>192</v>
      </c>
      <c r="G9" s="20" t="str">
        <f>IFERROR(DEC2BIN(IFERROR(HEX2DEC(UPPER(TRIM(MID(SUBSTITUTE(B3," ",REPT(" ",10)),(13-1)*12+1,10))))," "),8),"")</f>
        <v>11111111</v>
      </c>
      <c r="H9" s="20" t="s">
        <v>193</v>
      </c>
    </row>
    <row r="10" spans="1:8" ht="19.5" customHeight="1" x14ac:dyDescent="0.3">
      <c r="B10" s="21" t="s">
        <v>194</v>
      </c>
      <c r="C10" s="22" t="s">
        <v>191</v>
      </c>
      <c r="D10" s="22" t="str">
        <f ca="1">IFERROR(_xludf.BITRSHIFT(_xludf.BITAND((IFERROR(HEX2DEC(UPPER(TRIM(MID(SUBSTITUTE(B3," ",REPT(" ",10)),(13-1)*12+1,10))))," ")),128),7),"?")</f>
        <v>?</v>
      </c>
      <c r="E10" s="36"/>
      <c r="F10" s="21" t="s">
        <v>195</v>
      </c>
      <c r="G10" s="21"/>
      <c r="H10" s="21" t="str">
        <f ca="1">IF(IFERROR(_xludf.BITRSHIFT(_xludf.BITAND((IFERROR(HEX2DEC(UPPER(TRIM(MID(SUBSTITUTE(B3," ",REPT(" ",10)),(13-1)*12+1,10))))," ")),128),7),0)=1,"✅ ALT присутствует","➖ ALT отсутствует")</f>
        <v>➖ ALT отсутствует</v>
      </c>
    </row>
    <row r="11" spans="1:8" ht="19.5" customHeight="1" x14ac:dyDescent="0.3">
      <c r="B11" s="21" t="s">
        <v>196</v>
      </c>
      <c r="C11" s="22" t="s">
        <v>191</v>
      </c>
      <c r="D11" s="22" t="str">
        <f ca="1">IFERROR(_xludf.BITRSHIFT(_xludf.BITAND((IFERROR(HEX2DEC(UPPER(TRIM(MID(SUBSTITUTE(B3," ",REPT(" ",10)),(13-1)*12+1,10))))," ")),64),6),"?")</f>
        <v>?</v>
      </c>
      <c r="E11" s="36"/>
      <c r="F11" s="21" t="s">
        <v>197</v>
      </c>
      <c r="G11" s="21"/>
      <c r="H11" s="21" t="str">
        <f ca="1">IF(IFERROR(_xludf.BITRSHIFT(_xludf.BITAND((IFERROR(HEX2DEC(UPPER(TRIM(MID(SUBSTITUTE(B3," ",REPT(" ",10)),(13-1)*12+1,10))))," ")),64),6),0)=0,"🌍 Восточная долгота (E)","🌎 Западная долгота (W)")</f>
        <v>🌍 Восточная долгота (E)</v>
      </c>
    </row>
    <row r="12" spans="1:8" ht="19.5" customHeight="1" x14ac:dyDescent="0.3">
      <c r="B12" s="21" t="s">
        <v>198</v>
      </c>
      <c r="C12" s="22" t="s">
        <v>191</v>
      </c>
      <c r="D12" s="22" t="str">
        <f ca="1">IFERROR(_xludf.BITRSHIFT(_xludf.BITAND((IFERROR(HEX2DEC(UPPER(TRIM(MID(SUBSTITUTE(B3," ",REPT(" ",10)),(13-1)*12+1,10))))," ")),32),5),"?")</f>
        <v>?</v>
      </c>
      <c r="E12" s="36"/>
      <c r="F12" s="21" t="s">
        <v>199</v>
      </c>
      <c r="G12" s="21"/>
      <c r="H12" s="21" t="str">
        <f ca="1">IF(IFERROR(_xludf.BITRSHIFT(_xludf.BITAND((IFERROR(HEX2DEC(UPPER(TRIM(MID(SUBSTITUTE(B3," ",REPT(" ",10)),(13-1)*12+1,10))))," ")),32),5),0)=0,"⬆️ Северная широта (N)","⬇️ Южная широта (S)")</f>
        <v>⬆️ Северная широта (N)</v>
      </c>
    </row>
    <row r="13" spans="1:8" ht="19.5" customHeight="1" x14ac:dyDescent="0.3">
      <c r="B13" s="21" t="s">
        <v>200</v>
      </c>
      <c r="C13" s="22" t="s">
        <v>191</v>
      </c>
      <c r="D13" s="22" t="str">
        <f ca="1">IFERROR(_xludf.BITRSHIFT(_xludf.BITAND((IFERROR(HEX2DEC(UPPER(TRIM(MID(SUBSTITUTE(B3," ",REPT(" ",10)),(13-1)*12+1,10))))," ")),16),4),"?")</f>
        <v>?</v>
      </c>
      <c r="E13" s="36"/>
      <c r="F13" s="21" t="s">
        <v>201</v>
      </c>
      <c r="G13" s="21"/>
      <c r="H13" s="21" t="str">
        <f ca="1">IF(IFERROR(_xludf.BITRSHIFT(_xludf.BITAND((IFERROR(HEX2DEC(UPPER(TRIM(MID(SUBSTITUTE(B3," ",REPT(" ",10)),(13-1)*12+1,10))))," ")),16),4),0)=1,"🚗 Движение","🅿️ Стоянка")</f>
        <v>🅿️ Стоянка</v>
      </c>
    </row>
    <row r="14" spans="1:8" ht="19.5" customHeight="1" x14ac:dyDescent="0.3">
      <c r="B14" s="21" t="s">
        <v>202</v>
      </c>
      <c r="C14" s="22" t="s">
        <v>191</v>
      </c>
      <c r="D14" s="22" t="str">
        <f ca="1">IFERROR(_xludf.BITRSHIFT(_xludf.BITAND((IFERROR(HEX2DEC(UPPER(TRIM(MID(SUBSTITUTE(B3," ",REPT(" ",10)),(13-1)*12+1,10))))," ")),8),3),"?")</f>
        <v>?</v>
      </c>
      <c r="E14" s="36"/>
      <c r="F14" s="21" t="s">
        <v>203</v>
      </c>
      <c r="G14" s="21"/>
      <c r="H14" s="21" t="str">
        <f ca="1">IF(IFERROR(_xludf.BITRSHIFT(_xludf.BITAND((IFERROR(HEX2DEC(UPPER(TRIM(MID(SUBSTITUTE(B3," ",REPT(" ",10)),(13-1)*12+1,10))))," ")),8),3),0)=0,"📡 Актуальные данные","💾 Из памяти (ЧЯ)")</f>
        <v>📡 Актуальные данные</v>
      </c>
    </row>
    <row r="15" spans="1:8" ht="19.5" customHeight="1" x14ac:dyDescent="0.3">
      <c r="B15" s="21" t="s">
        <v>204</v>
      </c>
      <c r="C15" s="22" t="s">
        <v>191</v>
      </c>
      <c r="D15" s="22" t="str">
        <f ca="1">IFERROR(_xludf.BITRSHIFT(_xludf.BITAND((IFERROR(HEX2DEC(UPPER(TRIM(MID(SUBSTITUTE(B3," ",REPT(" ",10)),(13-1)*12+1,10))))," ")),4),2),"?")</f>
        <v>?</v>
      </c>
      <c r="E15" s="36"/>
      <c r="F15" s="21" t="s">
        <v>205</v>
      </c>
      <c r="G15" s="21"/>
      <c r="H15" s="21" t="str">
        <f ca="1">IF(IFERROR(_xludf.BITRSHIFT(_xludf.BITAND((IFERROR(HEX2DEC(UPPER(TRIM(MID(SUBSTITUTE(B3," ",REPT(" ",10)),(13-1)*12+1,10))))," ")),4),2),0)=0,"2D Fix","🛰️ 3D Fix")</f>
        <v>2D Fix</v>
      </c>
    </row>
    <row r="16" spans="1:8" ht="19.5" customHeight="1" x14ac:dyDescent="0.3">
      <c r="B16" s="21" t="s">
        <v>206</v>
      </c>
      <c r="C16" s="22" t="s">
        <v>191</v>
      </c>
      <c r="D16" s="22" t="str">
        <f ca="1">IFERROR(_xludf.BITRSHIFT(_xludf.BITAND((IFERROR(HEX2DEC(UPPER(TRIM(MID(SUBSTITUTE(B3," ",REPT(" ",10)),(13-1)*12+1,10))))," ")),2),1),"?")</f>
        <v>?</v>
      </c>
      <c r="E16" s="36"/>
      <c r="F16" s="21" t="s">
        <v>207</v>
      </c>
      <c r="G16" s="21"/>
      <c r="H16" s="21" t="str">
        <f ca="1">IF(IFERROR(_xludf.BITRSHIFT(_xludf.BITAND((IFERROR(HEX2DEC(UPPER(TRIM(MID(SUBSTITUTE(B3," ",REPT(" ",10)),(13-1)*12+1,10))))," ")),2),1),0)=0,"🌐 WGS-84","🌐 ПЗ-90.02")</f>
        <v>🌐 WGS-84</v>
      </c>
    </row>
    <row r="17" spans="1:8" ht="19.5" customHeight="1" x14ac:dyDescent="0.3">
      <c r="B17" s="21" t="s">
        <v>208</v>
      </c>
      <c r="C17" s="22" t="s">
        <v>191</v>
      </c>
      <c r="D17" s="22" t="str">
        <f ca="1">IFERROR(_xludf.BITAND((IFERROR(HEX2DEC(UPPER(TRIM(MID(SUBSTITUTE(B3," ",REPT(" ",10)),(13-1)*12+1,10))))," ")),1),"?")</f>
        <v>?</v>
      </c>
      <c r="E17" s="36"/>
      <c r="F17" s="21" t="s">
        <v>209</v>
      </c>
      <c r="G17" s="21"/>
      <c r="H17" s="21" t="str">
        <f ca="1">IF(IFERROR(_xludf.BITAND((IFERROR(HEX2DEC(UPPER(TRIM(MID(SUBSTITUTE(B3," ",REPT(" ",10)),(13-1)*12+1,10))))," ")),1),0)=1,"✅ Координаты валидны","⚠️ НЕВАЛИДНЫЕ координаты!")</f>
        <v>⚠️ НЕВАЛИДНЫЕ координаты!</v>
      </c>
    </row>
    <row r="18" spans="1:8" ht="21.75" customHeight="1" x14ac:dyDescent="0.3">
      <c r="B18" s="37" t="s">
        <v>210</v>
      </c>
      <c r="C18" s="38" t="s">
        <v>211</v>
      </c>
      <c r="D18" s="38" t="str">
        <f>IFERROR(UPPER(TRIM(MID(SUBSTITUTE(B3," ",REPT(" ",10)),(14-1)*12+1,10))),"?")&amp;" "&amp;IFERROR(UPPER(TRIM(MID(SUBSTITUTE(B3," ",REPT(" ",10)),(15-1)*12+1,10))),"?")</f>
        <v>D2 C4</v>
      </c>
      <c r="E18" s="39">
        <f>(IFERROR(IFERROR(HEX2DEC(UPPER(TRIM(MID(SUBSTITUTE(B3," ",REPT(" ",10)),(15-1)*12+1,10))))," ")*256+IFERROR(HEX2DEC(UPPER(TRIM(MID(SUBSTITUTE(B3," ",REPT(" ",10)),(14-1)*12+1,10))))," "),0))</f>
        <v>50386</v>
      </c>
      <c r="F18" s="40" t="s">
        <v>212</v>
      </c>
      <c r="G18" s="40" t="str">
        <f ca="1">IFERROR(TEXT(_xludf.BITAND((IFERROR(IFERROR(HEX2DEC(UPPER(TRIM(MID(SUBSTITUTE(B3," ",REPT(" ",10)),(15-1)*12+1,10))))," ")*256+IFERROR(HEX2DEC(UPPER(TRIM(MID(SUBSTITUTE(B3," ",REPT(" ",10)),(14-1)*12+1,10))))," "),0)),16383)*0.1,"0.0")&amp;" км/ч","")</f>
        <v/>
      </c>
      <c r="H18" s="40" t="str">
        <f ca="1">IFERROR("🚀 "&amp;TEXT(_xludf.BITAND((IFERROR(IFERROR(HEX2DEC(UPPER(TRIM(MID(SUBSTITUTE(B3," ",REPT(" ",10)),(15-1)*12+1,10))))," ")*256+IFERROR(HEX2DEC(UPPER(TRIM(MID(SUBSTITUTE(B3," ",REPT(" ",10)),(14-1)*12+1,10))))," "),0)),16383)*0.1,"0.0")&amp;" км/ч","")</f>
        <v/>
      </c>
    </row>
    <row r="19" spans="1:8" ht="21.75" customHeight="1" x14ac:dyDescent="0.3">
      <c r="B19" s="41" t="s">
        <v>213</v>
      </c>
      <c r="C19" s="22" t="s">
        <v>47</v>
      </c>
      <c r="D19" s="22" t="str">
        <f>IFERROR(UPPER(TRIM(MID(SUBSTITUTE(B3," ",REPT(" ",10)),(15-1)*12+1,10))),"?")</f>
        <v>C4</v>
      </c>
      <c r="E19" s="36" t="str">
        <f ca="1">IFERROR(_xludf.BITRSHIFT(_xludf.BITAND((IFERROR(HEX2DEC(UPPER(TRIM(MID(SUBSTITUTE(B3," ",REPT(" ",10)),(15-1)*12+1,10))))," ")),128),7),"?")</f>
        <v>?</v>
      </c>
      <c r="F19" s="21" t="s">
        <v>214</v>
      </c>
      <c r="G19" s="21" t="str">
        <f ca="1">IFERROR(_xludf.BITRSHIFT(_xludf.BITAND((IFERROR(HEX2DEC(UPPER(TRIM(MID(SUBSTITUTE(B3," ",REPT(" ",10)),(15-1)*12+1,10))))," ")),128),7),"")</f>
        <v/>
      </c>
      <c r="H19" s="21" t="str">
        <f ca="1">IFERROR("DIRH = "&amp;_xludf.BITRSHIFT(_xludf.BITAND((IFERROR(HEX2DEC(UPPER(TRIM(MID(SUBSTITUTE(B3," ",REPT(" ",10)),(15-1)*12+1,10))))," ")),128),7),"")</f>
        <v/>
      </c>
    </row>
    <row r="20" spans="1:8" ht="21.75" customHeight="1" x14ac:dyDescent="0.3">
      <c r="B20" s="41" t="s">
        <v>215</v>
      </c>
      <c r="C20" s="22" t="s">
        <v>47</v>
      </c>
      <c r="D20" s="22" t="str">
        <f>IFERROR(UPPER(TRIM(MID(SUBSTITUTE(B3," ",REPT(" ",10)),(15-1)*12+1,10))),"?")</f>
        <v>C4</v>
      </c>
      <c r="E20" s="36" t="str">
        <f ca="1">IFERROR(_xludf.BITRSHIFT(_xludf.BITAND((IFERROR(HEX2DEC(UPPER(TRIM(MID(SUBSTITUTE(B3," ",REPT(" ",10)),(15-1)*12+1,10))))," ")),64),6),"?")</f>
        <v>?</v>
      </c>
      <c r="F20" s="21" t="s">
        <v>216</v>
      </c>
      <c r="G20" s="21" t="str">
        <f ca="1">IFERROR(_xludf.BITRSHIFT(_xludf.BITAND((IFERROR(HEX2DEC(UPPER(TRIM(MID(SUBSTITUTE(B3," ",REPT(" ",10)),(15-1)*12+1,10))))," ")),64),6),"")</f>
        <v/>
      </c>
      <c r="H20" s="21" t="str">
        <f ca="1">IF(IFERROR(_xludf.BITRSHIFT(_xludf.BITAND((IFERROR(HEX2DEC(UPPER(TRIM(MID(SUBSTITUTE(B3," ",REPT(" ",10)),(15-1)*12+1,10))))," ")),64),6),0)=0,"⬆️ Выше уровня моря","⬇️ Ниже уровня моря")</f>
        <v>⬆️ Выше уровня моря</v>
      </c>
    </row>
    <row r="21" spans="1:8" ht="21.75" customHeight="1" x14ac:dyDescent="0.3">
      <c r="B21" s="37" t="s">
        <v>217</v>
      </c>
      <c r="C21" s="38" t="s">
        <v>218</v>
      </c>
      <c r="D21" s="38" t="str">
        <f>IFERROR(UPPER(TRIM(MID(SUBSTITUTE(B3," ",REPT(" ",10)),(16-1)*12+1,10))),"?")</f>
        <v>2D</v>
      </c>
      <c r="E21" s="39">
        <f>IFERROR(HEX2DEC(UPPER(TRIM(MID(SUBSTITUTE(B3," ",REPT(" ",10)),(16-1)*12+1,10))))," ")</f>
        <v>45</v>
      </c>
      <c r="F21" s="40" t="s">
        <v>219</v>
      </c>
      <c r="G21" s="40" t="str">
        <f ca="1">IFERROR(TEXT((IFERROR(_xludf.BITRSHIFT(_xludf.BITAND((IFERROR(HEX2DEC(UPPER(TRIM(MID(SUBSTITUTE(B3," ",REPT(" ",10)),(15-1)*12+1,10))))," ")),128),7),0)*256+IFERROR(IFERROR(HEX2DEC(UPPER(TRIM(MID(SUBSTITUTE(B3," ",REPT(" ",10)),(16-1)*12+1,10))))," "),0)),"0")&amp;"°","")</f>
        <v>45°</v>
      </c>
      <c r="H21" s="40" t="str">
        <f ca="1">IFERROR("🧭 "&amp;(IFERROR(_xludf.BITRSHIFT(_xludf.BITAND((IFERROR(HEX2DEC(UPPER(TRIM(MID(SUBSTITUTE(B3," ",REPT(" ",10)),(15-1)*12+1,10))))," ")),128),7),0)*256+IFERROR(IFERROR(HEX2DEC(UPPER(TRIM(MID(SUBSTITUTE(B3," ",REPT(" ",10)),(16-1)*12+1,10))))," "),0))&amp;"° ("&amp;CHOOSE(INT(MOD((IFERROR(_xludf.BITRSHIFT(_xludf.BITAND((IFERROR(HEX2DEC(UPPER(TRIM(MID(SUBSTITUTE(B3," ",REPT(" ",10)),(15-1)*12+1,10))))," ")),128),7),0)*256+IFERROR(IFERROR(HEX2DEC(UPPER(TRIM(MID(SUBSTITUTE(B3," ",REPT(" ",10)),(16-1)*12+1,10))))," "),0))+22.5,360)/45)+1,"С","СВ","В","ЮВ","Ю","ЮЗ","З","СЗ")&amp;")","")</f>
        <v>🧭 45° (СВ)</v>
      </c>
    </row>
    <row r="22" spans="1:8" ht="21.75" customHeight="1" x14ac:dyDescent="0.3">
      <c r="B22" s="24" t="s">
        <v>220</v>
      </c>
      <c r="C22" s="26" t="s">
        <v>221</v>
      </c>
      <c r="D22" s="26" t="str">
        <f>IFERROR(UPPER(TRIM(MID(SUBSTITUTE(B3," ",REPT(" ",10)),(17-1)*12+1,10))),"?")&amp;" "&amp;IFERROR(UPPER(TRIM(MID(SUBSTITUTE(B3," ",REPT(" ",10)),(18-1)*12+1,10))),"?")&amp;" "&amp;IFERROR(UPPER(TRIM(MID(SUBSTITUTE(B3," ",REPT(" ",10)),(19-1)*12+1,10))),"?")</f>
        <v>31 D4 00</v>
      </c>
      <c r="E22" s="25">
        <f>IFERROR(IFERROR(HEX2DEC(UPPER(TRIM(MID(SUBSTITUTE(B3," ",REPT(" ",10)),(19-1)*12+1,10))))," ")*65536+IFERROR(HEX2DEC(UPPER(TRIM(MID(SUBSTITUTE(B3," ",REPT(" ",10)),(18-1)*12+1,10))))," ")*256+IFERROR(HEX2DEC(UPPER(TRIM(MID(SUBSTITUTE(B3," ",REPT(" ",10)),(17-1)*12+1,10))))," ")," ")</f>
        <v>54321</v>
      </c>
      <c r="F22" s="1" t="s">
        <v>222</v>
      </c>
      <c r="G22" s="1" t="str">
        <f>IFERROR(TEXT(IFERROR(IFERROR(HEX2DEC(UPPER(TRIM(MID(SUBSTITUTE(B3," ",REPT(" ",10)),(19-1)*12+1,10))))," ")*65536+IFERROR(HEX2DEC(UPPER(TRIM(MID(SUBSTITUTE(B3," ",REPT(" ",10)),(18-1)*12+1,10))))," ")*256+IFERROR(HEX2DEC(UPPER(TRIM(MID(SUBSTITUTE(B3," ",REPT(" ",10)),(17-1)*12+1,10))))," ")," ")*0.1,"0.0")&amp;" км","")</f>
        <v/>
      </c>
      <c r="H22" s="1" t="str">
        <f>IFERROR("🛣️ Пробег: "&amp;TEXT(IFERROR(IFERROR(HEX2DEC(UPPER(TRIM(MID(SUBSTITUTE(B3," ",REPT(" ",10)),(19-1)*12+1,10))))," ")*65536+IFERROR(HEX2DEC(UPPER(TRIM(MID(SUBSTITUTE(B3," ",REPT(" ",10)),(18-1)*12+1,10))))," ")*256+IFERROR(HEX2DEC(UPPER(TRIM(MID(SUBSTITUTE(B3," ",REPT(" ",10)),(17-1)*12+1,10))))," ")," ")*0.1,"0.0")&amp;" км","")</f>
        <v/>
      </c>
    </row>
    <row r="23" spans="1:8" ht="21.75" customHeight="1" x14ac:dyDescent="0.3">
      <c r="B23" s="23" t="s">
        <v>223</v>
      </c>
      <c r="C23" s="16" t="s">
        <v>224</v>
      </c>
      <c r="D23" s="16" t="str">
        <f>IFERROR(UPPER(TRIM(MID(SUBSTITUTE(B3," ",REPT(" ",10)),(20-1)*12+1,10))),"?")</f>
        <v>A5</v>
      </c>
      <c r="E23" s="15">
        <f>IFERROR(HEX2DEC(UPPER(TRIM(MID(SUBSTITUTE(B3," ",REPT(" ",10)),(20-1)*12+1,10))))," ")</f>
        <v>165</v>
      </c>
      <c r="F23" s="2" t="s">
        <v>225</v>
      </c>
      <c r="G23" s="2" t="str">
        <f>IFERROR(DEC2BIN(IFERROR(HEX2DEC(UPPER(TRIM(MID(SUBSTITUTE(B3," ",REPT(" ",10)),(20-1)*12+1,10))))," "),8),"")</f>
        <v>10100101</v>
      </c>
      <c r="H23" s="2" t="str">
        <f>IFERROR("Входы (DIN1..8): "&amp;DEC2BIN(IFERROR(HEX2DEC(UPPER(TRIM(MID(SUBSTITUTE(B3," ",REPT(" ",10)),(20-1)*12+1,10))))," "),8),"")</f>
        <v>Входы (DIN1..8): 10100101</v>
      </c>
    </row>
    <row r="24" spans="1:8" ht="21.75" customHeight="1" x14ac:dyDescent="0.3">
      <c r="B24" s="23" t="s">
        <v>226</v>
      </c>
      <c r="C24" s="16" t="s">
        <v>227</v>
      </c>
      <c r="D24" s="16" t="str">
        <f>IFERROR(UPPER(TRIM(MID(SUBSTITUTE(B3," ",REPT(" ",10)),(21-1)*12+1,10))),"?")</f>
        <v>07</v>
      </c>
      <c r="E24" s="15">
        <f>IFERROR(HEX2DEC(UPPER(TRIM(MID(SUBSTITUTE(B3," ",REPT(" ",10)),(21-1)*12+1,10))))," ")</f>
        <v>7</v>
      </c>
      <c r="F24" s="2" t="s">
        <v>228</v>
      </c>
      <c r="G24" s="2">
        <f>IFERROR(HEX2DEC(UPPER(TRIM(MID(SUBSTITUTE(B3," ",REPT(" ",10)),(21-1)*12+1,10))))," ")</f>
        <v>7</v>
      </c>
      <c r="H24" s="2" t="str">
        <f>IFERROR(VLOOKUP(IFERROR(HEX2DEC(UPPER(TRIM(MID(SUBSTITUTE(B3," ",REPT(" ",10)),(21-1)*12+1,10))))," "),'📚 СПРАВОЧНИК'!$B$62:$C$85,2,0),"⚠️ Код "&amp;IFERROR(HEX2DEC(UPPER(TRIM(MID(SUBSTITUTE(B3," ",REPT(" ",10)),(21-1)*12+1,10))))," "))</f>
        <v>Превышение порога скорости</v>
      </c>
    </row>
    <row r="26" spans="1:8" ht="9.75" customHeight="1" x14ac:dyDescent="0.3">
      <c r="A26" s="58"/>
      <c r="B26" s="53"/>
      <c r="C26" s="53"/>
      <c r="D26" s="53"/>
      <c r="E26" s="53"/>
      <c r="F26" s="53"/>
      <c r="G26" s="53"/>
      <c r="H26" s="54"/>
    </row>
    <row r="27" spans="1:8" ht="15" customHeight="1" x14ac:dyDescent="0.3">
      <c r="B27" s="59" t="s">
        <v>229</v>
      </c>
      <c r="C27" s="53"/>
      <c r="D27" s="53"/>
      <c r="E27" s="53"/>
      <c r="F27" s="53"/>
      <c r="G27" s="53"/>
      <c r="H27" s="54"/>
    </row>
    <row r="28" spans="1:8" ht="27.75" customHeight="1" x14ac:dyDescent="0.3">
      <c r="B28" s="42" t="s">
        <v>230</v>
      </c>
      <c r="C28" s="60" t="str">
        <f ca="1">IFERROR(ROUND(IFERROR(IFERROR(HEX2DEC(UPPER(TRIM(MID(SUBSTITUTE(B3," ",REPT(" ",10)),(8-1)*12+1,10))))," ")*16777216+IFERROR(HEX2DEC(UPPER(TRIM(MID(SUBSTITUTE(B3," ",REPT(" ",10)),(7-1)*12+1,10))))," ")*65536+IFERROR(HEX2DEC(UPPER(TRIM(MID(SUBSTITUTE(B3," ",REPT(" ",10)),(6-1)*12+1,10))))," ")*256+IFERROR(HEX2DEC(UPPER(TRIM(MID(SUBSTITUTE(B3," ",REPT(" ",10)),(5-1)*12+1,10))))," ")," ")*90/4294967295,6)&amp;" "&amp;IF(IFERROR(_xludf.BITRSHIFT(_xludf.BITAND((IFERROR(HEX2DEC(UPPER(TRIM(MID(SUBSTITUTE(B3," ",REPT(" ",10)),(13-1)*12+1,10))))," ")),32),5),0)=0,"N","S")&amp;", "&amp;ROUND(IFERROR(IFERROR(HEX2DEC(UPPER(TRIM(MID(SUBSTITUTE(B3," ",REPT(" ",10)),(12-1)*12+1,10))))," ")*16777216+IFERROR(HEX2DEC(UPPER(TRIM(MID(SUBSTITUTE(B3," ",REPT(" ",10)),(11-1)*12+1,10))))," ")*65536+IFERROR(HEX2DEC(UPPER(TRIM(MID(SUBSTITUTE(B3," ",REPT(" ",10)),(10-1)*12+1,10))))," ")*256+IFERROR(HEX2DEC(UPPER(TRIM(MID(SUBSTITUTE(B3," ",REPT(" ",10)),(9-1)*12+1,10))))," ")," ")*180/4294967295,6)&amp;" "&amp;IF(IFERROR(_xludf.BITRSHIFT(_xludf.BITAND((IFERROR(HEX2DEC(UPPER(TRIM(MID(SUBSTITUTE(B3," ",REPT(" ",10)),(13-1)*12+1,10))))," ")),64),6),0)=0,"E","W"),"?")</f>
        <v>55,75 N, 37,62 E</v>
      </c>
      <c r="D28" s="53"/>
      <c r="E28" s="53"/>
      <c r="F28" s="53"/>
      <c r="G28" s="53"/>
      <c r="H28" s="54"/>
    </row>
  </sheetData>
  <mergeCells count="7">
    <mergeCell ref="C28:H28"/>
    <mergeCell ref="B2:H2"/>
    <mergeCell ref="A1:H1"/>
    <mergeCell ref="B3:H3"/>
    <mergeCell ref="A4:H4"/>
    <mergeCell ref="A26:H26"/>
    <mergeCell ref="B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650A-4AD2-4073-933C-79100C630004}">
  <sheetPr>
    <tabColor rgb="FF375623"/>
  </sheetPr>
  <dimension ref="A1:H34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3" sqref="B3:H3"/>
    </sheetView>
  </sheetViews>
  <sheetFormatPr defaultColWidth="8.6640625" defaultRowHeight="14.4" x14ac:dyDescent="0.3"/>
  <cols>
    <col min="1" max="1" width="3" customWidth="1"/>
    <col min="2" max="2" width="35.6640625" customWidth="1"/>
    <col min="3" max="3" width="34.44140625" customWidth="1"/>
    <col min="4" max="4" width="20.6640625" customWidth="1"/>
    <col min="5" max="5" width="9" customWidth="1"/>
    <col min="6" max="6" width="14" customWidth="1"/>
    <col min="7" max="8" width="70" customWidth="1"/>
  </cols>
  <sheetData>
    <row r="1" spans="1:8" ht="34.5" customHeight="1" x14ac:dyDescent="0.3">
      <c r="A1" s="52" t="s">
        <v>351</v>
      </c>
      <c r="B1" s="53"/>
      <c r="C1" s="53"/>
      <c r="D1" s="53"/>
      <c r="E1" s="53"/>
      <c r="F1" s="53"/>
      <c r="G1" s="53"/>
      <c r="H1" s="54"/>
    </row>
    <row r="2" spans="1:8" ht="21.75" customHeight="1" x14ac:dyDescent="0.3">
      <c r="B2" s="61" t="s">
        <v>352</v>
      </c>
      <c r="C2" s="53"/>
      <c r="D2" s="53"/>
      <c r="E2" s="53"/>
      <c r="F2" s="53"/>
      <c r="G2" s="53"/>
      <c r="H2" s="54"/>
    </row>
    <row r="3" spans="1:8" ht="27.75" customHeight="1" x14ac:dyDescent="0.3">
      <c r="B3" s="55" t="s">
        <v>353</v>
      </c>
      <c r="C3" s="56"/>
      <c r="D3" s="56"/>
      <c r="E3" s="56"/>
      <c r="F3" s="56"/>
      <c r="G3" s="56"/>
      <c r="H3" s="57"/>
    </row>
    <row r="4" spans="1:8" ht="19.5" customHeight="1" x14ac:dyDescent="0.3">
      <c r="B4" s="66" t="str">
        <f>IFERROR("Всего байт: "&amp;LEN(TRIM(B3))-LEN(SUBSTITUTE(TRIM(B3)," ",""))+1,"")</f>
        <v>Всего байт: 143</v>
      </c>
      <c r="C4" s="53"/>
      <c r="D4" s="53"/>
      <c r="E4" s="53"/>
      <c r="F4" s="53"/>
      <c r="G4" s="53"/>
      <c r="H4" s="54"/>
    </row>
    <row r="5" spans="1:8" ht="24.75" customHeight="1" x14ac:dyDescent="0.3">
      <c r="B5" s="9" t="s">
        <v>177</v>
      </c>
      <c r="C5" s="9" t="s">
        <v>178</v>
      </c>
      <c r="D5" s="9" t="s">
        <v>4</v>
      </c>
      <c r="E5" s="9" t="s">
        <v>5</v>
      </c>
      <c r="F5" s="9" t="s">
        <v>7</v>
      </c>
      <c r="G5" s="9" t="s">
        <v>354</v>
      </c>
      <c r="H5" s="9" t="s">
        <v>231</v>
      </c>
    </row>
    <row r="6" spans="1:8" ht="21.75" customHeight="1" x14ac:dyDescent="0.3">
      <c r="B6" s="24" t="s">
        <v>355</v>
      </c>
      <c r="C6" s="26" t="s">
        <v>232</v>
      </c>
      <c r="D6" s="26" t="str">
        <f>IFERROR(UPPER(TRIM(MID(SUBSTITUTE(B3," ",REPT(" ",10)),((1)-1)*12+1,10))),"")&amp;" "&amp;IFERROR(UPPER(TRIM(MID(SUBSTITUTE(B3," ",REPT(" ",10)),((2)-1)*12+1,10))),"")</f>
        <v>7C 00</v>
      </c>
      <c r="E6" s="25">
        <f>IFERROR(IFERROR(HEX2DEC(IFERROR(UPPER(TRIM(MID(SUBSTITUTE(B3," ",REPT(" ",10)),((2)-1)*12+1,10))),"")),"")*256+IFERROR(HEX2DEC(IFERROR(UPPER(TRIM(MID(SUBSTITUTE(B3," ",REPT(" ",10)),((1)-1)*12+1,10))),"")),""),"")</f>
        <v>124</v>
      </c>
      <c r="F6" s="1" t="s">
        <v>356</v>
      </c>
      <c r="G6" s="1"/>
      <c r="H6" s="1" t="str">
        <f>"RL = "&amp;E6</f>
        <v>RL = 124</v>
      </c>
    </row>
    <row r="7" spans="1:8" ht="21.75" customHeight="1" x14ac:dyDescent="0.3">
      <c r="B7" s="24" t="s">
        <v>357</v>
      </c>
      <c r="C7" s="26" t="s">
        <v>233</v>
      </c>
      <c r="D7" s="26" t="str">
        <f>IFERROR(UPPER(TRIM(MID(SUBSTITUTE(B3," ",REPT(" ",10)),((3)-1)*12+1,10))),"")&amp;" "&amp;IFERROR(UPPER(TRIM(MID(SUBSTITUTE(B3," ",REPT(" ",10)),((4)-1)*12+1,10))),"")</f>
        <v>01 00</v>
      </c>
      <c r="E7" s="25">
        <f>IFERROR(IFERROR(HEX2DEC(IFERROR(UPPER(TRIM(MID(SUBSTITUTE(B3," ",REPT(" ",10)),((4)-1)*12+1,10))),"")),"")*256+IFERROR(HEX2DEC(IFERROR(UPPER(TRIM(MID(SUBSTITUTE(B3," ",REPT(" ",10)),((3)-1)*12+1,10))),"")),""),"")</f>
        <v>1</v>
      </c>
      <c r="F7" s="1" t="s">
        <v>358</v>
      </c>
      <c r="G7" s="1"/>
      <c r="H7" s="1" t="str">
        <f>"RN = "&amp;E7</f>
        <v>RN = 1</v>
      </c>
    </row>
    <row r="8" spans="1:8" ht="21.75" customHeight="1" x14ac:dyDescent="0.3">
      <c r="B8" s="24" t="s">
        <v>359</v>
      </c>
      <c r="C8" s="26" t="s">
        <v>234</v>
      </c>
      <c r="D8" s="26" t="str">
        <f>IFERROR(UPPER(TRIM(MID(SUBSTITUTE(B3," ",REPT(" ",10)),((5)-1)*12+1,10))),"")</f>
        <v>17</v>
      </c>
      <c r="E8" s="25">
        <f>IFERROR(HEX2DEC(IFERROR(UPPER(TRIM(MID(SUBSTITUTE(B3," ",REPT(" ",10)),((5)-1)*12+1,10))),"")),"")</f>
        <v>23</v>
      </c>
      <c r="F8" s="1" t="s">
        <v>360</v>
      </c>
      <c r="G8" s="1" t="str">
        <f>IFERROR(DEC2BIN(E8,8),"")</f>
        <v>00010111</v>
      </c>
      <c r="H8" s="1" t="str">
        <f>"Флаги RFL"</f>
        <v>Флаги RFL</v>
      </c>
    </row>
    <row r="9" spans="1:8" ht="21.75" customHeight="1" x14ac:dyDescent="0.3">
      <c r="B9" s="24" t="s">
        <v>361</v>
      </c>
      <c r="C9" s="26" t="s">
        <v>234</v>
      </c>
      <c r="D9" s="26">
        <f>IFERROR(INT(MOD(E8/1,2)),"")</f>
        <v>1</v>
      </c>
      <c r="E9" s="36"/>
      <c r="F9" s="1" t="s">
        <v>362</v>
      </c>
      <c r="G9" s="1"/>
      <c r="H9" s="1" t="str">
        <f>IF(D9=1,"OID присутствует","OID отсутствует")</f>
        <v>OID присутствует</v>
      </c>
    </row>
    <row r="10" spans="1:8" ht="21.75" customHeight="1" x14ac:dyDescent="0.3">
      <c r="B10" s="24" t="s">
        <v>363</v>
      </c>
      <c r="C10" s="26" t="s">
        <v>234</v>
      </c>
      <c r="D10" s="26">
        <f>IFERROR(INT(MOD(E8/2,2)),"")</f>
        <v>1</v>
      </c>
      <c r="E10" s="36"/>
      <c r="F10" s="1" t="s">
        <v>364</v>
      </c>
      <c r="G10" s="1"/>
      <c r="H10" s="1" t="str">
        <f>IF(D10=1,"EVID присутствует","EVID отсутствует")</f>
        <v>EVID присутствует</v>
      </c>
    </row>
    <row r="11" spans="1:8" ht="21.75" customHeight="1" x14ac:dyDescent="0.3">
      <c r="B11" s="24" t="s">
        <v>365</v>
      </c>
      <c r="C11" s="26" t="s">
        <v>234</v>
      </c>
      <c r="D11" s="26">
        <f>IFERROR(INT(MOD(E8/4,2)),"")</f>
        <v>1</v>
      </c>
      <c r="E11" s="36"/>
      <c r="F11" s="1" t="s">
        <v>366</v>
      </c>
      <c r="G11" s="1"/>
      <c r="H11" s="1" t="str">
        <f>IF(D11=1,"TM присутствует","TM отсутствует")</f>
        <v>TM присутствует</v>
      </c>
    </row>
    <row r="13" spans="1:8" ht="21.75" customHeight="1" x14ac:dyDescent="0.3">
      <c r="B13" s="24" t="s">
        <v>367</v>
      </c>
      <c r="C13" s="26">
        <f>IFERROR((LEN(TRIM(B3))-LEN(SUBSTITUTE(TRIM(B3)," ",""))+1)-1,"")</f>
        <v>142</v>
      </c>
      <c r="D13" s="26" t="str">
        <f>IFERROR(UPPER(TRIM(MID(SUBSTITUTE(B3," ",REPT(" ",10)),(((LEN(TRIM(B3))-LEN(SUBSTITUTE(TRIM(B3)," ",""))+1)-1)-1)*12+1,10))),"")</f>
        <v>34</v>
      </c>
      <c r="E13" s="25">
        <f>IFERROR(HEX2DEC(IFERROR(UPPER(TRIM(MID(SUBSTITUTE(B3," ",REPT(" ",10)),(((LEN(TRIM(B3))-LEN(SUBSTITUTE(TRIM(B3)," ",""))+1)-1)-1)*12+1,10))),"")),"")</f>
        <v>52</v>
      </c>
      <c r="F13" s="1" t="s">
        <v>368</v>
      </c>
      <c r="G13" s="1" t="str">
        <f>IFERROR(DEC2BIN(E13,8),"")</f>
        <v>00110100</v>
      </c>
      <c r="H13" s="1" t="str">
        <f>IFERROR(VLOOKUP(E13,'📚 СПРАВОЧНИК'!$E$40:$F$43,2,0),"Код "&amp;E13)</f>
        <v>Код 52</v>
      </c>
    </row>
    <row r="14" spans="1:8" ht="21.75" customHeight="1" x14ac:dyDescent="0.3">
      <c r="B14" s="24" t="s">
        <v>369</v>
      </c>
      <c r="C14" s="26">
        <f>IFERROR((LEN(TRIM(B3))-LEN(SUBSTITUTE(TRIM(B3)," ",""))+1),"")</f>
        <v>143</v>
      </c>
      <c r="D14" s="26" t="str">
        <f>IFERROR(UPPER(TRIM(MID(SUBSTITUTE(B3," ",REPT(" ",10)),(((LEN(TRIM(B3))-LEN(SUBSTITUTE(TRIM(B3)," ",""))+1))-1)*12+1,10))),"")</f>
        <v>12</v>
      </c>
      <c r="E14" s="25">
        <f>IFERROR(HEX2DEC(IFERROR(UPPER(TRIM(MID(SUBSTITUTE(B3," ",REPT(" ",10)),(((LEN(TRIM(B3))-LEN(SUBSTITUTE(TRIM(B3)," ",""))+1))-1)*12+1,10))),"")),"")</f>
        <v>18</v>
      </c>
      <c r="F14" s="1" t="s">
        <v>370</v>
      </c>
      <c r="G14" s="1" t="str">
        <f>IFERROR(DEC2BIN(E14,8),"")</f>
        <v>00010010</v>
      </c>
      <c r="H14" s="1" t="str">
        <f>IFERROR(VLOOKUP(E14,'📚 СПРАВОЧНИК'!$E$40:$F$43,2,0),"Код "&amp;E14)</f>
        <v>Код 18</v>
      </c>
    </row>
    <row r="16" spans="1:8" ht="21.75" customHeight="1" x14ac:dyDescent="0.3">
      <c r="B16" s="24" t="s">
        <v>371</v>
      </c>
      <c r="C16" s="26" t="str">
        <f>IF(D9=1,"6-9","—")</f>
        <v>6-9</v>
      </c>
      <c r="D16" s="26" t="str">
        <f>IF(D9=1,IFERROR(UPPER(TRIM(MID(SUBSTITUTE(B3," ",REPT(" ",10)),((6)-1)*12+1,10))),"")&amp;" "&amp;IFERROR(UPPER(TRIM(MID(SUBSTITUTE(B3," ",REPT(" ",10)),((7)-1)*12+1,10))),"")&amp;" "&amp;IFERROR(UPPER(TRIM(MID(SUBSTITUTE(B3," ",REPT(" ",10)),((8)-1)*12+1,10))),"")&amp;" "&amp;IFERROR(UPPER(TRIM(MID(SUBSTITUTE(B3," ",REPT(" ",10)),((9)-1)*12+1,10))),""),"—")</f>
        <v>04 03 02 01</v>
      </c>
      <c r="E16" s="25">
        <f>IF(D9=1,IFERROR(HEX2DEC(IFERROR(UPPER(TRIM(MID(SUBSTITUTE(B3," ",REPT(" ",10)),((9)-1)*12+1,10))),"")),"")*16777216+IFERROR(HEX2DEC(IFERROR(UPPER(TRIM(MID(SUBSTITUTE(B3," ",REPT(" ",10)),((8)-1)*12+1,10))),"")),"")*65536+IFERROR(HEX2DEC(IFERROR(UPPER(TRIM(MID(SUBSTITUTE(B3," ",REPT(" ",10)),((7)-1)*12+1,10))),"")),"")*256+IFERROR(HEX2DEC(IFERROR(UPPER(TRIM(MID(SUBSTITUTE(B3," ",REPT(" ",10)),((6)-1)*12+1,10))),"")),""),"")</f>
        <v>16909060</v>
      </c>
      <c r="F16" s="1" t="s">
        <v>372</v>
      </c>
      <c r="G16" s="1"/>
      <c r="H16" s="1" t="str">
        <f>IF(D9=1,"OID = "&amp;E16,"—")</f>
        <v>OID = 16909060</v>
      </c>
    </row>
    <row r="17" spans="2:8" ht="21.75" customHeight="1" x14ac:dyDescent="0.3">
      <c r="B17" s="24" t="s">
        <v>373</v>
      </c>
      <c r="C17" s="26" t="str">
        <f>IF(D10=1,(6+4*D9)&amp;"-"&amp;(9+4*D9),"—")</f>
        <v>10-13</v>
      </c>
      <c r="D17" s="26" t="str">
        <f>IF(D10=1,IFERROR(UPPER(TRIM(MID(SUBSTITUTE(B3," ",REPT(" ",10)),((6+4*D9)-1)*12+1,10))),"")&amp;" "&amp;IFERROR(UPPER(TRIM(MID(SUBSTITUTE(B3," ",REPT(" ",10)),((7+4*D9)-1)*12+1,10))),"")&amp;" "&amp;IFERROR(UPPER(TRIM(MID(SUBSTITUTE(B3," ",REPT(" ",10)),((8+4*D9)-1)*12+1,10))),"")&amp;" "&amp;IFERROR(UPPER(TRIM(MID(SUBSTITUTE(B3," ",REPT(" ",10)),((9+4*D9)-1)*12+1,10))),""),"—")</f>
        <v>44 33 22 11</v>
      </c>
      <c r="E17" s="25">
        <f>IF(D10=1,IFERROR(HEX2DEC(IFERROR(UPPER(TRIM(MID(SUBSTITUTE(B3," ",REPT(" ",10)),((9+4*D9)-1)*12+1,10))),"")),"")*16777216+IFERROR(HEX2DEC(IFERROR(UPPER(TRIM(MID(SUBSTITUTE(B3," ",REPT(" ",10)),((8+4*D9)-1)*12+1,10))),"")),"")*65536+IFERROR(HEX2DEC(IFERROR(UPPER(TRIM(MID(SUBSTITUTE(B3," ",REPT(" ",10)),((7+4*D9)-1)*12+1,10))),"")),"")*256+IFERROR(HEX2DEC(IFERROR(UPPER(TRIM(MID(SUBSTITUTE(B3," ",REPT(" ",10)),((6+4*D9)-1)*12+1,10))),"")),""),"")</f>
        <v>287454020</v>
      </c>
      <c r="F17" s="1" t="s">
        <v>374</v>
      </c>
      <c r="G17" s="1"/>
      <c r="H17" s="1" t="str">
        <f>IF(D10=1,"EVID = "&amp;E17,"—")</f>
        <v>EVID = 287454020</v>
      </c>
    </row>
    <row r="18" spans="2:8" ht="21.75" customHeight="1" x14ac:dyDescent="0.3">
      <c r="B18" s="24" t="s">
        <v>375</v>
      </c>
      <c r="C18" s="26" t="str">
        <f>IF(D11=1,(6+4*D9+4*D10)&amp;"-"&amp;(9+4*D9+4*D10),"—")</f>
        <v>14-17</v>
      </c>
      <c r="D18" s="26" t="str">
        <f>IF(D11=1,IFERROR(UPPER(TRIM(MID(SUBSTITUTE(B3," ",REPT(" ",10)),((6+4*D9+4*D10)-1)*12+1,10))),"")&amp;" "&amp;IFERROR(UPPER(TRIM(MID(SUBSTITUTE(B3," ",REPT(" ",10)),((7+4*D9+4*D10)-1)*12+1,10))),"")&amp;" "&amp;IFERROR(UPPER(TRIM(MID(SUBSTITUTE(B3," ",REPT(" ",10)),((8+4*D9+4*D10)-1)*12+1,10))),"")&amp;" "&amp;IFERROR(UPPER(TRIM(MID(SUBSTITUTE(B3," ",REPT(" ",10)),((9+4*D9+4*D10)-1)*12+1,10))),""),"—")</f>
        <v>25 42 56 1A</v>
      </c>
      <c r="E18" s="25">
        <f>IF(D11=1,IFERROR(HEX2DEC(IFERROR(UPPER(TRIM(MID(SUBSTITUTE(B3," ",REPT(" ",10)),((9+4*D9+4*D10)-1)*12+1,10))),"")),"")*16777216+IFERROR(HEX2DEC(IFERROR(UPPER(TRIM(MID(SUBSTITUTE(B3," ",REPT(" ",10)),((8+4*D9+4*D10)-1)*12+1,10))),"")),"")*65536+IFERROR(HEX2DEC(IFERROR(UPPER(TRIM(MID(SUBSTITUTE(B3," ",REPT(" ",10)),((7+4*D9+4*D10)-1)*12+1,10))),"")),"")*256+IFERROR(HEX2DEC(IFERROR(UPPER(TRIM(MID(SUBSTITUTE(B3," ",REPT(" ",10)),((6+4*D9+4*D10)-1)*12+1,10))),"")),""),"")</f>
        <v>441860645</v>
      </c>
      <c r="F18" s="1" t="s">
        <v>376</v>
      </c>
      <c r="G18" s="1"/>
      <c r="H18" s="1" t="str">
        <f>IF(D11=1,"TM = "&amp;E18,"—")</f>
        <v>TM = 441860645</v>
      </c>
    </row>
    <row r="19" spans="2:8" ht="21.75" customHeight="1" x14ac:dyDescent="0.3">
      <c r="B19" s="24" t="s">
        <v>377</v>
      </c>
      <c r="C19" s="26" t="s">
        <v>378</v>
      </c>
      <c r="D19" s="26">
        <f>IFERROR(6+4*D9+4*D10+4*D11,"")</f>
        <v>18</v>
      </c>
      <c r="E19" s="36"/>
      <c r="F19" s="1" t="s">
        <v>379</v>
      </c>
      <c r="G19" s="1"/>
      <c r="H19" s="1" t="str">
        <f>IF(D19&lt;&gt;"","Первый байт payload = "&amp;D19,"")</f>
        <v>Первый байт payload = 18</v>
      </c>
    </row>
    <row r="21" spans="2:8" ht="15" customHeight="1" x14ac:dyDescent="0.3">
      <c r="B21" s="59" t="s">
        <v>380</v>
      </c>
      <c r="C21" s="53"/>
      <c r="D21" s="53"/>
      <c r="E21" s="53"/>
      <c r="F21" s="53"/>
      <c r="G21" s="53"/>
      <c r="H21" s="54"/>
    </row>
    <row r="22" spans="2:8" ht="21.75" customHeight="1" x14ac:dyDescent="0.3">
      <c r="B22" s="9" t="s">
        <v>177</v>
      </c>
      <c r="C22" s="9" t="s">
        <v>381</v>
      </c>
      <c r="D22" s="9" t="s">
        <v>4</v>
      </c>
      <c r="E22" s="9" t="s">
        <v>5</v>
      </c>
      <c r="F22" s="9" t="s">
        <v>7</v>
      </c>
      <c r="G22" s="9" t="s">
        <v>382</v>
      </c>
      <c r="H22" s="9" t="s">
        <v>382</v>
      </c>
    </row>
    <row r="23" spans="2:8" ht="19.5" customHeight="1" x14ac:dyDescent="0.3">
      <c r="B23" s="15" t="s">
        <v>77</v>
      </c>
      <c r="C23" s="2" t="s">
        <v>383</v>
      </c>
      <c r="D23" s="16" t="str">
        <f>IFERROR(UPPER(TRIM(MID(SUBSTITUTE(B3," ",REPT(" ",10)),((1)-1)*12+1,10))),"")</f>
        <v>7C</v>
      </c>
      <c r="E23" s="15">
        <f>IFERROR(HEX2DEC(IFERROR(UPPER(TRIM(MID(SUBSTITUTE(B3," ",REPT(" ",10)),((1)-1)*12+1,10))),"")),"")</f>
        <v>124</v>
      </c>
      <c r="F23" s="50"/>
      <c r="G23" s="50"/>
      <c r="H23" s="51"/>
    </row>
    <row r="24" spans="2:8" ht="19.5" customHeight="1" x14ac:dyDescent="0.3">
      <c r="B24" s="15" t="s">
        <v>78</v>
      </c>
      <c r="C24" s="2" t="s">
        <v>384</v>
      </c>
      <c r="D24" s="16" t="str">
        <f>IFERROR(UPPER(TRIM(MID(SUBSTITUTE(B3," ",REPT(" ",10)),((2)-1)*12+1,10))),"")</f>
        <v>00</v>
      </c>
      <c r="E24" s="15">
        <f>IFERROR(HEX2DEC(IFERROR(UPPER(TRIM(MID(SUBSTITUTE(B3," ",REPT(" ",10)),((2)-1)*12+1,10))),"")),"")</f>
        <v>0</v>
      </c>
      <c r="F24" s="50"/>
      <c r="G24" s="50"/>
      <c r="H24" s="51"/>
    </row>
    <row r="25" spans="2:8" ht="19.5" customHeight="1" x14ac:dyDescent="0.3">
      <c r="B25" s="15" t="s">
        <v>79</v>
      </c>
      <c r="C25" s="2" t="s">
        <v>385</v>
      </c>
      <c r="D25" s="16" t="str">
        <f>IFERROR(UPPER(TRIM(MID(SUBSTITUTE(B3," ",REPT(" ",10)),((3)-1)*12+1,10))),"")</f>
        <v>01</v>
      </c>
      <c r="E25" s="15">
        <f>IFERROR(HEX2DEC(IFERROR(UPPER(TRIM(MID(SUBSTITUTE(B3," ",REPT(" ",10)),((3)-1)*12+1,10))),"")),"")</f>
        <v>1</v>
      </c>
      <c r="F25" s="50"/>
      <c r="G25" s="50"/>
      <c r="H25" s="51"/>
    </row>
    <row r="26" spans="2:8" ht="19.5" customHeight="1" x14ac:dyDescent="0.3">
      <c r="B26" s="15" t="s">
        <v>80</v>
      </c>
      <c r="C26" s="2" t="s">
        <v>386</v>
      </c>
      <c r="D26" s="16" t="str">
        <f>IFERROR(UPPER(TRIM(MID(SUBSTITUTE(B3," ",REPT(" ",10)),((4)-1)*12+1,10))),"")</f>
        <v>00</v>
      </c>
      <c r="E26" s="15">
        <f>IFERROR(HEX2DEC(IFERROR(UPPER(TRIM(MID(SUBSTITUTE(B3," ",REPT(" ",10)),((4)-1)*12+1,10))),"")),"")</f>
        <v>0</v>
      </c>
      <c r="F26" s="50"/>
      <c r="G26" s="50"/>
      <c r="H26" s="51"/>
    </row>
    <row r="27" spans="2:8" ht="19.5" customHeight="1" x14ac:dyDescent="0.3">
      <c r="B27" s="15" t="s">
        <v>81</v>
      </c>
      <c r="C27" s="2" t="s">
        <v>234</v>
      </c>
      <c r="D27" s="16" t="str">
        <f>IFERROR(UPPER(TRIM(MID(SUBSTITUTE(B3," ",REPT(" ",10)),((5)-1)*12+1,10))),"")</f>
        <v>17</v>
      </c>
      <c r="E27" s="15">
        <f>IFERROR(HEX2DEC(IFERROR(UPPER(TRIM(MID(SUBSTITUTE(B3," ",REPT(" ",10)),((5)-1)*12+1,10))),"")),"")</f>
        <v>23</v>
      </c>
      <c r="F27" s="50"/>
      <c r="G27" s="50"/>
      <c r="H27" s="51"/>
    </row>
    <row r="28" spans="2:8" ht="19.5" customHeight="1" x14ac:dyDescent="0.3">
      <c r="B28" s="15" t="s">
        <v>82</v>
      </c>
      <c r="C28" s="2" t="s">
        <v>387</v>
      </c>
      <c r="D28" s="16" t="str">
        <f>IFERROR(UPPER(TRIM(MID(SUBSTITUTE(B3," ",REPT(" ",10)),((6)-1)*12+1,10))),"")</f>
        <v>04</v>
      </c>
      <c r="E28" s="15">
        <f>IFERROR(HEX2DEC(IFERROR(UPPER(TRIM(MID(SUBSTITUTE(B3," ",REPT(" ",10)),((6)-1)*12+1,10))),"")),"")</f>
        <v>4</v>
      </c>
      <c r="F28" s="50"/>
      <c r="G28" s="50"/>
      <c r="H28" s="51"/>
    </row>
    <row r="29" spans="2:8" ht="19.5" customHeight="1" x14ac:dyDescent="0.3">
      <c r="B29" s="15" t="s">
        <v>83</v>
      </c>
      <c r="C29" s="2" t="s">
        <v>388</v>
      </c>
      <c r="D29" s="16" t="str">
        <f>IFERROR(UPPER(TRIM(MID(SUBSTITUTE(B3," ",REPT(" ",10)),((7)-1)*12+1,10))),"")</f>
        <v>03</v>
      </c>
      <c r="E29" s="15">
        <f>IFERROR(HEX2DEC(IFERROR(UPPER(TRIM(MID(SUBSTITUTE(B3," ",REPT(" ",10)),((7)-1)*12+1,10))),"")),"")</f>
        <v>3</v>
      </c>
      <c r="F29" s="50"/>
      <c r="G29" s="50"/>
      <c r="H29" s="51"/>
    </row>
    <row r="30" spans="2:8" ht="19.5" customHeight="1" x14ac:dyDescent="0.3">
      <c r="B30" s="15" t="s">
        <v>84</v>
      </c>
      <c r="C30" s="2" t="s">
        <v>389</v>
      </c>
      <c r="D30" s="16" t="str">
        <f>IFERROR(UPPER(TRIM(MID(SUBSTITUTE(B3," ",REPT(" ",10)),((8)-1)*12+1,10))),"")</f>
        <v>02</v>
      </c>
      <c r="E30" s="15">
        <f>IFERROR(HEX2DEC(IFERROR(UPPER(TRIM(MID(SUBSTITUTE(B3," ",REPT(" ",10)),((8)-1)*12+1,10))),"")),"")</f>
        <v>2</v>
      </c>
      <c r="F30" s="50"/>
      <c r="G30" s="50"/>
      <c r="H30" s="51"/>
    </row>
    <row r="31" spans="2:8" ht="19.5" customHeight="1" x14ac:dyDescent="0.3">
      <c r="B31" s="15" t="s">
        <v>85</v>
      </c>
      <c r="C31" s="2" t="s">
        <v>390</v>
      </c>
      <c r="D31" s="16" t="str">
        <f>IFERROR(UPPER(TRIM(MID(SUBSTITUTE(B3," ",REPT(" ",10)),((9)-1)*12+1,10))),"")</f>
        <v>01</v>
      </c>
      <c r="E31" s="15">
        <f>IFERROR(HEX2DEC(IFERROR(UPPER(TRIM(MID(SUBSTITUTE(B3," ",REPT(" ",10)),((9)-1)*12+1,10))),"")),"")</f>
        <v>1</v>
      </c>
      <c r="F31" s="50"/>
      <c r="G31" s="50"/>
      <c r="H31" s="51"/>
    </row>
    <row r="32" spans="2:8" ht="19.5" customHeight="1" x14ac:dyDescent="0.3">
      <c r="B32" s="15" t="s">
        <v>86</v>
      </c>
      <c r="C32" s="2" t="s">
        <v>41</v>
      </c>
      <c r="D32" s="16" t="str">
        <f>IFERROR(UPPER(TRIM(MID(SUBSTITUTE(B3," ",REPT(" ",10)),((10)-1)*12+1,10))),"")</f>
        <v>44</v>
      </c>
      <c r="E32" s="15">
        <f>IFERROR(HEX2DEC(IFERROR(UPPER(TRIM(MID(SUBSTITUTE(B3," ",REPT(" ",10)),((10)-1)*12+1,10))),"")),"")</f>
        <v>68</v>
      </c>
      <c r="F32" s="50"/>
      <c r="G32" s="50"/>
      <c r="H32" s="51"/>
    </row>
    <row r="33" spans="2:8" ht="19.5" customHeight="1" x14ac:dyDescent="0.3">
      <c r="B33" s="15" t="s">
        <v>87</v>
      </c>
      <c r="C33" s="2" t="s">
        <v>391</v>
      </c>
      <c r="D33" s="16" t="str">
        <f>IFERROR(UPPER(TRIM(MID(SUBSTITUTE(B3," ",REPT(" ",10)),((11)-1)*12+1,10))),"")</f>
        <v>33</v>
      </c>
      <c r="E33" s="15">
        <f>IFERROR(HEX2DEC(IFERROR(UPPER(TRIM(MID(SUBSTITUTE(B3," ",REPT(" ",10)),((11)-1)*12+1,10))),"")),"")</f>
        <v>51</v>
      </c>
      <c r="F33" s="50"/>
      <c r="G33" s="50"/>
      <c r="H33" s="51"/>
    </row>
    <row r="34" spans="2:8" ht="19.5" customHeight="1" x14ac:dyDescent="0.3">
      <c r="B34" s="15" t="s">
        <v>88</v>
      </c>
      <c r="C34" s="2" t="s">
        <v>392</v>
      </c>
      <c r="D34" s="16" t="str">
        <f>IFERROR(UPPER(TRIM(MID(SUBSTITUTE(B3," ",REPT(" ",10)),((12)-1)*12+1,10))),"")</f>
        <v>22</v>
      </c>
      <c r="E34" s="15">
        <f>IFERROR(HEX2DEC(IFERROR(UPPER(TRIM(MID(SUBSTITUTE(B3," ",REPT(" ",10)),((12)-1)*12+1,10))),"")),"")</f>
        <v>34</v>
      </c>
      <c r="F34" s="50"/>
      <c r="G34" s="50"/>
      <c r="H34" s="51"/>
    </row>
  </sheetData>
  <mergeCells count="5">
    <mergeCell ref="A1:H1"/>
    <mergeCell ref="B2:H2"/>
    <mergeCell ref="B3:H3"/>
    <mergeCell ref="B4:H4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7070-39D0-4B81-A3DA-7EBC6887204F}">
  <sheetPr>
    <tabColor rgb="FF7030A0"/>
  </sheetPr>
  <dimension ref="A1:G97"/>
  <sheetViews>
    <sheetView zoomScaleNormal="100" workbookViewId="0">
      <pane xSplit="1" ySplit="2" topLeftCell="B34" activePane="bottomRight" state="frozen"/>
      <selection pane="topRight" activeCell="B1" sqref="B1"/>
      <selection pane="bottomLeft" activeCell="A3" sqref="A3"/>
      <selection pane="bottomRight" activeCell="F41" sqref="F41"/>
    </sheetView>
  </sheetViews>
  <sheetFormatPr defaultColWidth="8.6640625" defaultRowHeight="14.4" x14ac:dyDescent="0.3"/>
  <cols>
    <col min="1" max="1" width="3" customWidth="1"/>
    <col min="2" max="2" width="10" customWidth="1"/>
    <col min="3" max="3" width="54.44140625" customWidth="1"/>
    <col min="4" max="4" width="62.88671875" customWidth="1"/>
    <col min="5" max="5" width="10" customWidth="1"/>
    <col min="6" max="6" width="56.44140625" customWidth="1"/>
  </cols>
  <sheetData>
    <row r="1" spans="1:7" ht="34.5" customHeight="1" x14ac:dyDescent="0.3">
      <c r="A1" s="52" t="s">
        <v>235</v>
      </c>
      <c r="B1" s="53"/>
      <c r="C1" s="53"/>
      <c r="D1" s="53"/>
      <c r="E1" s="53"/>
      <c r="F1" s="54"/>
    </row>
    <row r="2" spans="1:7" ht="15" customHeight="1" x14ac:dyDescent="0.3">
      <c r="B2" s="59" t="s">
        <v>236</v>
      </c>
      <c r="C2" s="53"/>
      <c r="D2" s="54"/>
    </row>
    <row r="3" spans="1:7" ht="15" customHeight="1" x14ac:dyDescent="0.3">
      <c r="B3" s="9" t="s">
        <v>237</v>
      </c>
      <c r="C3" s="9" t="s">
        <v>238</v>
      </c>
      <c r="D3" s="70" t="s">
        <v>7</v>
      </c>
      <c r="E3" s="53"/>
      <c r="F3" s="54"/>
      <c r="G3" s="9"/>
    </row>
    <row r="4" spans="1:7" ht="18" customHeight="1" x14ac:dyDescent="0.3">
      <c r="B4" s="39">
        <v>0</v>
      </c>
      <c r="C4" s="40" t="s">
        <v>239</v>
      </c>
      <c r="D4" s="69" t="s">
        <v>240</v>
      </c>
      <c r="E4" s="53"/>
      <c r="F4" s="54"/>
    </row>
    <row r="5" spans="1:7" ht="18" customHeight="1" x14ac:dyDescent="0.3">
      <c r="B5" s="28">
        <v>1</v>
      </c>
      <c r="C5" s="30" t="s">
        <v>241</v>
      </c>
      <c r="D5" s="71" t="s">
        <v>242</v>
      </c>
      <c r="E5" s="53"/>
      <c r="F5" s="54"/>
    </row>
    <row r="6" spans="1:7" ht="18" customHeight="1" x14ac:dyDescent="0.3">
      <c r="B6" s="43">
        <v>128</v>
      </c>
      <c r="C6" s="44" t="s">
        <v>243</v>
      </c>
      <c r="D6" s="68" t="s">
        <v>244</v>
      </c>
      <c r="E6" s="53"/>
      <c r="F6" s="54"/>
    </row>
    <row r="7" spans="1:7" ht="18" customHeight="1" x14ac:dyDescent="0.3">
      <c r="B7" s="43">
        <v>129</v>
      </c>
      <c r="C7" s="44" t="s">
        <v>245</v>
      </c>
      <c r="D7" s="68" t="s">
        <v>246</v>
      </c>
      <c r="E7" s="53"/>
      <c r="F7" s="54"/>
    </row>
    <row r="8" spans="1:7" ht="18" customHeight="1" x14ac:dyDescent="0.3">
      <c r="B8" s="43">
        <v>130</v>
      </c>
      <c r="C8" s="44" t="s">
        <v>247</v>
      </c>
      <c r="D8" s="68" t="s">
        <v>248</v>
      </c>
      <c r="E8" s="53"/>
      <c r="F8" s="54"/>
    </row>
    <row r="9" spans="1:7" ht="18" customHeight="1" x14ac:dyDescent="0.3">
      <c r="B9" s="43">
        <v>131</v>
      </c>
      <c r="C9" s="44" t="s">
        <v>249</v>
      </c>
      <c r="D9" s="68" t="s">
        <v>250</v>
      </c>
      <c r="E9" s="53"/>
      <c r="F9" s="54"/>
    </row>
    <row r="10" spans="1:7" ht="18" customHeight="1" x14ac:dyDescent="0.3">
      <c r="B10" s="43">
        <v>132</v>
      </c>
      <c r="C10" s="44" t="s">
        <v>251</v>
      </c>
      <c r="D10" s="68" t="s">
        <v>252</v>
      </c>
      <c r="E10" s="53"/>
      <c r="F10" s="54"/>
    </row>
    <row r="11" spans="1:7" ht="18" customHeight="1" x14ac:dyDescent="0.3">
      <c r="B11" s="43">
        <v>133</v>
      </c>
      <c r="C11" s="44" t="s">
        <v>253</v>
      </c>
      <c r="D11" s="68" t="s">
        <v>254</v>
      </c>
      <c r="E11" s="53"/>
      <c r="F11" s="54"/>
    </row>
    <row r="12" spans="1:7" ht="18" customHeight="1" x14ac:dyDescent="0.3">
      <c r="B12" s="43">
        <v>134</v>
      </c>
      <c r="C12" s="44" t="s">
        <v>255</v>
      </c>
      <c r="D12" s="68" t="s">
        <v>256</v>
      </c>
      <c r="E12" s="53"/>
      <c r="F12" s="54"/>
    </row>
    <row r="13" spans="1:7" ht="18" customHeight="1" x14ac:dyDescent="0.3">
      <c r="B13" s="43">
        <v>135</v>
      </c>
      <c r="C13" s="44" t="s">
        <v>257</v>
      </c>
      <c r="D13" s="68" t="s">
        <v>258</v>
      </c>
      <c r="E13" s="53"/>
      <c r="F13" s="54"/>
    </row>
    <row r="14" spans="1:7" ht="18" customHeight="1" x14ac:dyDescent="0.3">
      <c r="B14" s="43">
        <v>136</v>
      </c>
      <c r="C14" s="44" t="s">
        <v>259</v>
      </c>
      <c r="D14" s="68" t="s">
        <v>260</v>
      </c>
      <c r="E14" s="53"/>
      <c r="F14" s="54"/>
    </row>
    <row r="15" spans="1:7" ht="18" customHeight="1" x14ac:dyDescent="0.3">
      <c r="B15" s="43">
        <v>137</v>
      </c>
      <c r="C15" s="44" t="s">
        <v>261</v>
      </c>
      <c r="D15" s="68" t="s">
        <v>262</v>
      </c>
      <c r="E15" s="53"/>
      <c r="F15" s="54"/>
    </row>
    <row r="16" spans="1:7" ht="18" customHeight="1" x14ac:dyDescent="0.3">
      <c r="B16" s="43">
        <v>138</v>
      </c>
      <c r="C16" s="44" t="s">
        <v>263</v>
      </c>
      <c r="D16" s="68" t="s">
        <v>264</v>
      </c>
      <c r="E16" s="53"/>
      <c r="F16" s="54"/>
    </row>
    <row r="17" spans="2:6" ht="18" customHeight="1" x14ac:dyDescent="0.3">
      <c r="B17" s="43">
        <v>139</v>
      </c>
      <c r="C17" s="44" t="s">
        <v>265</v>
      </c>
      <c r="D17" s="68" t="s">
        <v>266</v>
      </c>
      <c r="E17" s="53"/>
      <c r="F17" s="54"/>
    </row>
    <row r="18" spans="2:6" ht="18" customHeight="1" x14ac:dyDescent="0.3">
      <c r="B18" s="43">
        <v>140</v>
      </c>
      <c r="C18" s="44" t="s">
        <v>267</v>
      </c>
      <c r="D18" s="68" t="s">
        <v>268</v>
      </c>
      <c r="E18" s="53"/>
      <c r="F18" s="54"/>
    </row>
    <row r="19" spans="2:6" ht="18" customHeight="1" x14ac:dyDescent="0.3">
      <c r="B19" s="43">
        <v>141</v>
      </c>
      <c r="C19" s="44" t="s">
        <v>269</v>
      </c>
      <c r="D19" s="68" t="s">
        <v>270</v>
      </c>
      <c r="E19" s="53"/>
      <c r="F19" s="54"/>
    </row>
    <row r="20" spans="2:6" ht="18" customHeight="1" x14ac:dyDescent="0.3">
      <c r="B20" s="43">
        <v>142</v>
      </c>
      <c r="C20" s="44" t="s">
        <v>271</v>
      </c>
      <c r="D20" s="68" t="s">
        <v>272</v>
      </c>
      <c r="E20" s="53"/>
      <c r="F20" s="54"/>
    </row>
    <row r="21" spans="2:6" ht="18" customHeight="1" x14ac:dyDescent="0.3">
      <c r="B21" s="43">
        <v>143</v>
      </c>
      <c r="C21" s="44" t="s">
        <v>273</v>
      </c>
      <c r="D21" s="68" t="s">
        <v>274</v>
      </c>
      <c r="E21" s="53"/>
      <c r="F21" s="54"/>
    </row>
    <row r="22" spans="2:6" ht="18" customHeight="1" x14ac:dyDescent="0.3">
      <c r="B22" s="43">
        <v>144</v>
      </c>
      <c r="C22" s="44" t="s">
        <v>275</v>
      </c>
      <c r="D22" s="68" t="s">
        <v>276</v>
      </c>
      <c r="E22" s="53"/>
      <c r="F22" s="54"/>
    </row>
    <row r="23" spans="2:6" ht="18" customHeight="1" x14ac:dyDescent="0.3">
      <c r="B23" s="43">
        <v>145</v>
      </c>
      <c r="C23" s="44" t="s">
        <v>277</v>
      </c>
      <c r="D23" s="68" t="s">
        <v>278</v>
      </c>
      <c r="E23" s="53"/>
      <c r="F23" s="54"/>
    </row>
    <row r="24" spans="2:6" ht="18" customHeight="1" x14ac:dyDescent="0.3">
      <c r="B24" s="43">
        <v>146</v>
      </c>
      <c r="C24" s="44" t="s">
        <v>279</v>
      </c>
      <c r="D24" s="68" t="s">
        <v>280</v>
      </c>
      <c r="E24" s="53"/>
      <c r="F24" s="54"/>
    </row>
    <row r="25" spans="2:6" ht="18" customHeight="1" x14ac:dyDescent="0.3">
      <c r="B25" s="43">
        <v>147</v>
      </c>
      <c r="C25" s="44" t="s">
        <v>281</v>
      </c>
      <c r="D25" s="68" t="s">
        <v>282</v>
      </c>
      <c r="E25" s="53"/>
      <c r="F25" s="54"/>
    </row>
    <row r="26" spans="2:6" ht="18" customHeight="1" x14ac:dyDescent="0.3">
      <c r="B26" s="43">
        <v>148</v>
      </c>
      <c r="C26" s="44" t="s">
        <v>283</v>
      </c>
      <c r="D26" s="68" t="s">
        <v>284</v>
      </c>
      <c r="E26" s="53"/>
      <c r="F26" s="54"/>
    </row>
    <row r="27" spans="2:6" ht="18" customHeight="1" x14ac:dyDescent="0.3">
      <c r="B27" s="43">
        <v>149</v>
      </c>
      <c r="C27" s="44" t="s">
        <v>285</v>
      </c>
      <c r="D27" s="68" t="s">
        <v>286</v>
      </c>
      <c r="E27" s="53"/>
      <c r="F27" s="54"/>
    </row>
    <row r="28" spans="2:6" ht="18" customHeight="1" x14ac:dyDescent="0.3">
      <c r="B28" s="43">
        <v>150</v>
      </c>
      <c r="C28" s="44" t="s">
        <v>287</v>
      </c>
      <c r="D28" s="68" t="s">
        <v>288</v>
      </c>
      <c r="E28" s="53"/>
      <c r="F28" s="54"/>
    </row>
    <row r="29" spans="2:6" ht="18" customHeight="1" x14ac:dyDescent="0.3">
      <c r="B29" s="43">
        <v>151</v>
      </c>
      <c r="C29" s="44" t="s">
        <v>289</v>
      </c>
      <c r="D29" s="68" t="s">
        <v>290</v>
      </c>
      <c r="E29" s="53"/>
      <c r="F29" s="54"/>
    </row>
    <row r="30" spans="2:6" ht="18" customHeight="1" x14ac:dyDescent="0.3">
      <c r="B30" s="43">
        <v>152</v>
      </c>
      <c r="C30" s="44" t="s">
        <v>291</v>
      </c>
      <c r="D30" s="68" t="s">
        <v>292</v>
      </c>
      <c r="E30" s="53"/>
      <c r="F30" s="54"/>
    </row>
    <row r="31" spans="2:6" ht="18" customHeight="1" x14ac:dyDescent="0.3">
      <c r="B31" s="43">
        <v>153</v>
      </c>
      <c r="C31" s="44" t="s">
        <v>293</v>
      </c>
      <c r="D31" s="68" t="s">
        <v>294</v>
      </c>
      <c r="E31" s="53"/>
      <c r="F31" s="54"/>
    </row>
    <row r="32" spans="2:6" ht="18" customHeight="1" x14ac:dyDescent="0.3">
      <c r="B32" s="43">
        <v>154</v>
      </c>
      <c r="C32" s="44" t="s">
        <v>295</v>
      </c>
      <c r="D32" s="68" t="s">
        <v>296</v>
      </c>
      <c r="E32" s="53"/>
      <c r="F32" s="54"/>
    </row>
    <row r="33" spans="2:6" ht="18" customHeight="1" x14ac:dyDescent="0.3">
      <c r="B33" s="43">
        <v>155</v>
      </c>
      <c r="C33" s="44" t="s">
        <v>297</v>
      </c>
      <c r="D33" s="68" t="s">
        <v>298</v>
      </c>
      <c r="E33" s="53"/>
      <c r="F33" s="54"/>
    </row>
    <row r="34" spans="2:6" ht="18" customHeight="1" x14ac:dyDescent="0.3">
      <c r="B34" s="43">
        <v>156</v>
      </c>
      <c r="C34" s="44" t="s">
        <v>299</v>
      </c>
      <c r="D34" s="68" t="s">
        <v>300</v>
      </c>
      <c r="E34" s="53"/>
      <c r="F34" s="54"/>
    </row>
    <row r="35" spans="2:6" ht="18" customHeight="1" x14ac:dyDescent="0.3">
      <c r="B35" s="43">
        <v>157</v>
      </c>
      <c r="C35" s="44" t="s">
        <v>301</v>
      </c>
      <c r="D35" s="68" t="s">
        <v>302</v>
      </c>
      <c r="E35" s="53"/>
      <c r="F35" s="54"/>
    </row>
    <row r="36" spans="2:6" ht="18" customHeight="1" x14ac:dyDescent="0.3">
      <c r="B36" s="43">
        <v>164</v>
      </c>
      <c r="C36" s="44" t="s">
        <v>303</v>
      </c>
      <c r="D36" s="68" t="s">
        <v>304</v>
      </c>
      <c r="E36" s="53"/>
      <c r="F36" s="54"/>
    </row>
    <row r="39" spans="2:6" ht="15" customHeight="1" x14ac:dyDescent="0.3">
      <c r="E39" s="45" t="s">
        <v>237</v>
      </c>
      <c r="F39" s="46" t="s">
        <v>305</v>
      </c>
    </row>
    <row r="40" spans="2:6" ht="15" customHeight="1" x14ac:dyDescent="0.3">
      <c r="E40" s="47">
        <v>1</v>
      </c>
      <c r="F40" s="48" t="s">
        <v>306</v>
      </c>
    </row>
    <row r="41" spans="2:6" ht="15" customHeight="1" x14ac:dyDescent="0.3">
      <c r="E41" s="47">
        <v>2</v>
      </c>
      <c r="F41" s="48" t="s">
        <v>307</v>
      </c>
    </row>
    <row r="42" spans="2:6" ht="15" customHeight="1" x14ac:dyDescent="0.3">
      <c r="E42" s="47">
        <v>3</v>
      </c>
      <c r="F42" s="48" t="s">
        <v>308</v>
      </c>
    </row>
    <row r="43" spans="2:6" ht="15" customHeight="1" x14ac:dyDescent="0.3">
      <c r="E43" s="47">
        <v>4</v>
      </c>
      <c r="F43" s="48" t="s">
        <v>309</v>
      </c>
    </row>
    <row r="46" spans="2:6" ht="15" customHeight="1" x14ac:dyDescent="0.3">
      <c r="E46" s="9" t="s">
        <v>310</v>
      </c>
      <c r="F46" s="49" t="s">
        <v>311</v>
      </c>
    </row>
    <row r="47" spans="2:6" ht="15" customHeight="1" x14ac:dyDescent="0.3">
      <c r="E47" s="47">
        <v>0</v>
      </c>
      <c r="F47" s="48" t="s">
        <v>312</v>
      </c>
    </row>
    <row r="48" spans="2:6" ht="15" customHeight="1" x14ac:dyDescent="0.3">
      <c r="E48" s="47">
        <v>1</v>
      </c>
      <c r="F48" s="48" t="s">
        <v>313</v>
      </c>
    </row>
    <row r="49" spans="2:7" ht="15" customHeight="1" x14ac:dyDescent="0.3">
      <c r="E49" s="47">
        <v>2</v>
      </c>
      <c r="F49" s="48" t="s">
        <v>314</v>
      </c>
    </row>
    <row r="59" spans="2:7" ht="9.75" customHeight="1" x14ac:dyDescent="0.3"/>
    <row r="60" spans="2:7" ht="15" customHeight="1" x14ac:dyDescent="0.3">
      <c r="B60" s="59" t="s">
        <v>315</v>
      </c>
      <c r="C60" s="53"/>
      <c r="D60" s="54"/>
    </row>
    <row r="61" spans="2:7" ht="15" customHeight="1" x14ac:dyDescent="0.3">
      <c r="B61" s="9" t="s">
        <v>237</v>
      </c>
      <c r="C61" s="9" t="s">
        <v>7</v>
      </c>
      <c r="D61" s="70"/>
      <c r="E61" s="53"/>
      <c r="F61" s="54"/>
      <c r="G61" s="9"/>
    </row>
    <row r="62" spans="2:7" ht="18" customHeight="1" x14ac:dyDescent="0.3">
      <c r="B62" s="25">
        <v>0</v>
      </c>
      <c r="C62" s="1" t="s">
        <v>316</v>
      </c>
      <c r="D62" s="63"/>
      <c r="E62" s="63"/>
      <c r="F62" s="63"/>
    </row>
    <row r="63" spans="2:7" ht="18" customHeight="1" x14ac:dyDescent="0.3">
      <c r="B63" s="25">
        <v>1</v>
      </c>
      <c r="C63" s="1" t="s">
        <v>317</v>
      </c>
      <c r="D63" s="63"/>
      <c r="E63" s="63"/>
      <c r="F63" s="63"/>
    </row>
    <row r="64" spans="2:7" ht="18" customHeight="1" x14ac:dyDescent="0.3">
      <c r="B64" s="25">
        <v>2</v>
      </c>
      <c r="C64" s="1" t="s">
        <v>318</v>
      </c>
      <c r="D64" s="63"/>
      <c r="E64" s="63"/>
      <c r="F64" s="63"/>
    </row>
    <row r="65" spans="2:6" ht="18" customHeight="1" x14ac:dyDescent="0.3">
      <c r="B65" s="25">
        <v>3</v>
      </c>
      <c r="C65" s="1" t="s">
        <v>319</v>
      </c>
      <c r="D65" s="63"/>
      <c r="E65" s="63"/>
      <c r="F65" s="63"/>
    </row>
    <row r="66" spans="2:6" ht="18" customHeight="1" x14ac:dyDescent="0.3">
      <c r="B66" s="25">
        <v>4</v>
      </c>
      <c r="C66" s="1" t="s">
        <v>320</v>
      </c>
      <c r="D66" s="63"/>
      <c r="E66" s="63"/>
      <c r="F66" s="63"/>
    </row>
    <row r="67" spans="2:6" ht="18" customHeight="1" x14ac:dyDescent="0.3">
      <c r="B67" s="25">
        <v>5</v>
      </c>
      <c r="C67" s="1" t="s">
        <v>321</v>
      </c>
      <c r="D67" s="63"/>
      <c r="E67" s="63"/>
      <c r="F67" s="63"/>
    </row>
    <row r="68" spans="2:6" ht="18" customHeight="1" x14ac:dyDescent="0.3">
      <c r="B68" s="25">
        <v>6</v>
      </c>
      <c r="C68" s="1" t="s">
        <v>322</v>
      </c>
      <c r="D68" s="63"/>
      <c r="E68" s="63"/>
      <c r="F68" s="63"/>
    </row>
    <row r="69" spans="2:6" ht="18" customHeight="1" x14ac:dyDescent="0.3">
      <c r="B69" s="25">
        <v>7</v>
      </c>
      <c r="C69" s="1" t="s">
        <v>323</v>
      </c>
      <c r="D69" s="63"/>
      <c r="E69" s="63"/>
      <c r="F69" s="63"/>
    </row>
    <row r="70" spans="2:6" ht="18" customHeight="1" x14ac:dyDescent="0.3">
      <c r="B70" s="25">
        <v>8</v>
      </c>
      <c r="C70" s="1" t="s">
        <v>324</v>
      </c>
      <c r="D70" s="63"/>
      <c r="E70" s="63"/>
      <c r="F70" s="63"/>
    </row>
    <row r="71" spans="2:6" ht="18" customHeight="1" x14ac:dyDescent="0.3">
      <c r="B71" s="25">
        <v>9</v>
      </c>
      <c r="C71" s="1" t="s">
        <v>325</v>
      </c>
      <c r="D71" s="63"/>
      <c r="E71" s="63"/>
      <c r="F71" s="63"/>
    </row>
    <row r="72" spans="2:6" ht="18" customHeight="1" x14ac:dyDescent="0.3">
      <c r="B72" s="25">
        <v>10</v>
      </c>
      <c r="C72" s="1" t="s">
        <v>326</v>
      </c>
      <c r="D72" s="63"/>
      <c r="E72" s="63"/>
      <c r="F72" s="63"/>
    </row>
    <row r="73" spans="2:6" ht="18" customHeight="1" x14ac:dyDescent="0.3">
      <c r="B73" s="25">
        <v>11</v>
      </c>
      <c r="C73" s="1" t="s">
        <v>327</v>
      </c>
      <c r="D73" s="63"/>
      <c r="E73" s="63"/>
      <c r="F73" s="63"/>
    </row>
    <row r="74" spans="2:6" ht="18" customHeight="1" x14ac:dyDescent="0.3">
      <c r="B74" s="25">
        <v>12</v>
      </c>
      <c r="C74" s="1" t="s">
        <v>328</v>
      </c>
      <c r="D74" s="63"/>
      <c r="E74" s="63"/>
      <c r="F74" s="63"/>
    </row>
    <row r="75" spans="2:6" ht="18" customHeight="1" x14ac:dyDescent="0.3">
      <c r="B75" s="25">
        <v>13</v>
      </c>
      <c r="C75" s="1" t="s">
        <v>329</v>
      </c>
      <c r="D75" s="63"/>
      <c r="E75" s="63"/>
      <c r="F75" s="63"/>
    </row>
    <row r="76" spans="2:6" ht="18" customHeight="1" x14ac:dyDescent="0.3">
      <c r="B76" s="25">
        <v>14</v>
      </c>
      <c r="C76" s="1" t="s">
        <v>330</v>
      </c>
      <c r="D76" s="63"/>
      <c r="E76" s="63"/>
      <c r="F76" s="63"/>
    </row>
    <row r="77" spans="2:6" ht="18" customHeight="1" x14ac:dyDescent="0.3">
      <c r="B77" s="25">
        <v>15</v>
      </c>
      <c r="C77" s="1" t="s">
        <v>331</v>
      </c>
      <c r="D77" s="63"/>
      <c r="E77" s="63"/>
      <c r="F77" s="63"/>
    </row>
    <row r="78" spans="2:6" ht="18" customHeight="1" x14ac:dyDescent="0.3">
      <c r="B78" s="25">
        <v>19</v>
      </c>
      <c r="C78" s="1" t="s">
        <v>332</v>
      </c>
      <c r="D78" s="63"/>
      <c r="E78" s="63"/>
      <c r="F78" s="63"/>
    </row>
    <row r="79" spans="2:6" ht="18" customHeight="1" x14ac:dyDescent="0.3">
      <c r="B79" s="25">
        <v>20</v>
      </c>
      <c r="C79" s="1" t="s">
        <v>333</v>
      </c>
      <c r="D79" s="63"/>
      <c r="E79" s="63"/>
      <c r="F79" s="63"/>
    </row>
    <row r="80" spans="2:6" ht="18" customHeight="1" x14ac:dyDescent="0.3">
      <c r="B80" s="25">
        <v>21</v>
      </c>
      <c r="C80" s="1" t="s">
        <v>334</v>
      </c>
      <c r="D80" s="63"/>
      <c r="E80" s="63"/>
      <c r="F80" s="63"/>
    </row>
    <row r="81" spans="2:7" ht="18" customHeight="1" x14ac:dyDescent="0.3">
      <c r="B81" s="25">
        <v>22</v>
      </c>
      <c r="C81" s="1" t="s">
        <v>335</v>
      </c>
      <c r="D81" s="63"/>
      <c r="E81" s="63"/>
      <c r="F81" s="63"/>
    </row>
    <row r="82" spans="2:7" ht="18" customHeight="1" x14ac:dyDescent="0.3">
      <c r="B82" s="25">
        <v>28</v>
      </c>
      <c r="C82" s="1" t="s">
        <v>336</v>
      </c>
      <c r="D82" s="63"/>
      <c r="E82" s="63"/>
      <c r="F82" s="63"/>
    </row>
    <row r="83" spans="2:7" ht="18" customHeight="1" x14ac:dyDescent="0.3">
      <c r="B83" s="25">
        <v>30</v>
      </c>
      <c r="C83" s="1" t="s">
        <v>337</v>
      </c>
      <c r="D83" s="63"/>
      <c r="E83" s="63"/>
      <c r="F83" s="63"/>
    </row>
    <row r="84" spans="2:7" ht="18" customHeight="1" x14ac:dyDescent="0.3">
      <c r="B84" s="25">
        <v>32</v>
      </c>
      <c r="C84" s="1" t="s">
        <v>338</v>
      </c>
      <c r="D84" s="63"/>
      <c r="E84" s="63"/>
      <c r="F84" s="63"/>
    </row>
    <row r="85" spans="2:7" ht="18" customHeight="1" x14ac:dyDescent="0.3">
      <c r="B85" s="25">
        <v>35</v>
      </c>
      <c r="C85" s="1" t="s">
        <v>339</v>
      </c>
      <c r="D85" s="63"/>
      <c r="E85" s="63"/>
      <c r="F85" s="63"/>
    </row>
    <row r="87" spans="2:7" ht="7.5" customHeight="1" x14ac:dyDescent="0.3"/>
    <row r="88" spans="2:7" ht="15" customHeight="1" x14ac:dyDescent="0.3">
      <c r="B88" s="59" t="s">
        <v>340</v>
      </c>
      <c r="C88" s="53"/>
      <c r="D88" s="54"/>
    </row>
    <row r="89" spans="2:7" ht="15" customHeight="1" x14ac:dyDescent="0.3">
      <c r="B89" s="9" t="s">
        <v>237</v>
      </c>
      <c r="C89" s="9" t="s">
        <v>341</v>
      </c>
      <c r="D89" s="70"/>
      <c r="E89" s="53"/>
      <c r="F89" s="54"/>
      <c r="G89" s="9"/>
    </row>
    <row r="90" spans="2:7" ht="18" customHeight="1" x14ac:dyDescent="0.3">
      <c r="B90" s="32">
        <v>0</v>
      </c>
      <c r="C90" s="34" t="s">
        <v>342</v>
      </c>
      <c r="D90" s="63"/>
      <c r="E90" s="63"/>
      <c r="F90" s="63"/>
    </row>
    <row r="91" spans="2:7" ht="18" customHeight="1" x14ac:dyDescent="0.3">
      <c r="B91" s="32">
        <v>1</v>
      </c>
      <c r="C91" s="34" t="s">
        <v>343</v>
      </c>
      <c r="D91" s="63"/>
      <c r="E91" s="63"/>
      <c r="F91" s="63"/>
    </row>
    <row r="92" spans="2:7" ht="18" customHeight="1" x14ac:dyDescent="0.3">
      <c r="B92" s="32">
        <v>2</v>
      </c>
      <c r="C92" s="34" t="s">
        <v>344</v>
      </c>
      <c r="D92" s="63"/>
      <c r="E92" s="63"/>
      <c r="F92" s="63"/>
    </row>
    <row r="93" spans="2:7" ht="18" customHeight="1" x14ac:dyDescent="0.3">
      <c r="B93" s="32">
        <v>3</v>
      </c>
      <c r="C93" s="34" t="s">
        <v>331</v>
      </c>
      <c r="D93" s="63"/>
      <c r="E93" s="63"/>
      <c r="F93" s="63"/>
    </row>
    <row r="94" spans="2:7" ht="18" customHeight="1" x14ac:dyDescent="0.3">
      <c r="B94" s="32">
        <v>4</v>
      </c>
      <c r="C94" s="34" t="s">
        <v>345</v>
      </c>
      <c r="D94" s="63"/>
      <c r="E94" s="63"/>
      <c r="F94" s="63"/>
    </row>
    <row r="95" spans="2:7" ht="18" customHeight="1" x14ac:dyDescent="0.3">
      <c r="B95" s="32">
        <v>5</v>
      </c>
      <c r="C95" s="34" t="s">
        <v>346</v>
      </c>
      <c r="D95" s="63"/>
      <c r="E95" s="63"/>
      <c r="F95" s="63"/>
    </row>
    <row r="96" spans="2:7" ht="18" customHeight="1" x14ac:dyDescent="0.3">
      <c r="B96" s="32">
        <v>6</v>
      </c>
      <c r="C96" s="34" t="s">
        <v>347</v>
      </c>
      <c r="D96" s="63"/>
      <c r="E96" s="63"/>
      <c r="F96" s="63"/>
    </row>
    <row r="97" spans="2:6" ht="18" customHeight="1" x14ac:dyDescent="0.3">
      <c r="B97" s="32">
        <v>7</v>
      </c>
      <c r="C97" s="34" t="s">
        <v>348</v>
      </c>
      <c r="D97" s="63"/>
      <c r="E97" s="63"/>
      <c r="F97" s="63"/>
    </row>
  </sheetData>
  <mergeCells count="72">
    <mergeCell ref="D13:F13"/>
    <mergeCell ref="D76:F76"/>
    <mergeCell ref="D11:F11"/>
    <mergeCell ref="B60:D60"/>
    <mergeCell ref="D27:F27"/>
    <mergeCell ref="D32:F32"/>
    <mergeCell ref="D61:F61"/>
    <mergeCell ref="D70:F70"/>
    <mergeCell ref="D97:F97"/>
    <mergeCell ref="D66:F66"/>
    <mergeCell ref="D17:F17"/>
    <mergeCell ref="B88:D88"/>
    <mergeCell ref="D75:F75"/>
    <mergeCell ref="D91:F91"/>
    <mergeCell ref="D93:F93"/>
    <mergeCell ref="D92:F92"/>
    <mergeCell ref="D83:F83"/>
    <mergeCell ref="D82:F82"/>
    <mergeCell ref="D89:F89"/>
    <mergeCell ref="D94:F94"/>
    <mergeCell ref="D79:F79"/>
    <mergeCell ref="D85:F85"/>
    <mergeCell ref="D34:F34"/>
    <mergeCell ref="D63:F63"/>
    <mergeCell ref="D5:F5"/>
    <mergeCell ref="D7:F7"/>
    <mergeCell ref="D78:F78"/>
    <mergeCell ref="D16:F16"/>
    <mergeCell ref="D72:F72"/>
    <mergeCell ref="D28:F28"/>
    <mergeCell ref="D71:F71"/>
    <mergeCell ref="D74:F74"/>
    <mergeCell ref="D68:F68"/>
    <mergeCell ref="D73:F73"/>
    <mergeCell ref="D64:F64"/>
    <mergeCell ref="D67:F67"/>
    <mergeCell ref="D23:F23"/>
    <mergeCell ref="D35:F35"/>
    <mergeCell ref="D26:F26"/>
    <mergeCell ref="D69:F69"/>
    <mergeCell ref="A1:F1"/>
    <mergeCell ref="D65:F65"/>
    <mergeCell ref="D22:F22"/>
    <mergeCell ref="D84:F84"/>
    <mergeCell ref="D36:F36"/>
    <mergeCell ref="D10:F10"/>
    <mergeCell ref="D81:F81"/>
    <mergeCell ref="D19:F19"/>
    <mergeCell ref="D80:F80"/>
    <mergeCell ref="D31:F31"/>
    <mergeCell ref="D4:F4"/>
    <mergeCell ref="D62:F62"/>
    <mergeCell ref="D12:F12"/>
    <mergeCell ref="D18:F18"/>
    <mergeCell ref="B2:D2"/>
    <mergeCell ref="D3:F3"/>
    <mergeCell ref="D96:F96"/>
    <mergeCell ref="D21:F21"/>
    <mergeCell ref="D6:F6"/>
    <mergeCell ref="D77:F77"/>
    <mergeCell ref="D95:F95"/>
    <mergeCell ref="D90:F90"/>
    <mergeCell ref="D9:F9"/>
    <mergeCell ref="D30:F30"/>
    <mergeCell ref="D8:F8"/>
    <mergeCell ref="D25:F25"/>
    <mergeCell ref="D15:F15"/>
    <mergeCell ref="D33:F33"/>
    <mergeCell ref="D24:F24"/>
    <mergeCell ref="D14:F14"/>
    <mergeCell ref="D29:F29"/>
    <mergeCell ref="D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EE98-4B44-454B-90A9-C6D1B0859C48}">
  <sheetPr>
    <tabColor rgb="FF5B9BD5"/>
  </sheetPr>
  <dimension ref="A1:H49"/>
  <sheetViews>
    <sheetView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D6" sqref="D6"/>
    </sheetView>
  </sheetViews>
  <sheetFormatPr defaultColWidth="8.6640625" defaultRowHeight="14.4" x14ac:dyDescent="0.3"/>
  <cols>
    <col min="1" max="1" width="3" customWidth="1"/>
    <col min="2" max="2" width="26" customWidth="1"/>
    <col min="3" max="3" width="11" customWidth="1"/>
    <col min="4" max="4" width="19.44140625" customWidth="1"/>
    <col min="5" max="5" width="17.33203125" customWidth="1"/>
    <col min="6" max="6" width="85" customWidth="1"/>
    <col min="7" max="7" width="25" customWidth="1"/>
    <col min="8" max="8" width="36" customWidth="1"/>
  </cols>
  <sheetData>
    <row r="1" spans="1:8" ht="34.5" customHeight="1" x14ac:dyDescent="0.3">
      <c r="A1" s="52" t="s">
        <v>393</v>
      </c>
      <c r="B1" s="53"/>
      <c r="C1" s="53"/>
      <c r="D1" s="53"/>
      <c r="E1" s="53"/>
      <c r="F1" s="53"/>
      <c r="G1" s="53"/>
      <c r="H1" s="54"/>
    </row>
    <row r="2" spans="1:8" ht="21.75" customHeight="1" x14ac:dyDescent="0.3">
      <c r="B2" s="61" t="s">
        <v>394</v>
      </c>
      <c r="C2" s="53"/>
      <c r="D2" s="53"/>
      <c r="E2" s="53"/>
      <c r="F2" s="53"/>
      <c r="G2" s="53"/>
      <c r="H2" s="54"/>
    </row>
    <row r="3" spans="1:8" ht="27.75" customHeight="1" x14ac:dyDescent="0.3">
      <c r="B3" s="55" t="s">
        <v>395</v>
      </c>
      <c r="C3" s="56"/>
      <c r="D3" s="56"/>
      <c r="E3" s="56"/>
      <c r="F3" s="56"/>
      <c r="G3" s="56"/>
      <c r="H3" s="57"/>
    </row>
    <row r="4" spans="1:8" ht="19.5" customHeight="1" x14ac:dyDescent="0.3">
      <c r="B4" s="66" t="str">
        <f>IFERROR("📊 Всего байт: "&amp;LEN(TRIM(B3))-LEN(SUBSTITUTE(TRIM(B3)," ",""))+1,"")</f>
        <v>📊 Всего байт: 10</v>
      </c>
      <c r="C4" s="53"/>
      <c r="D4" s="53"/>
      <c r="E4" s="53"/>
      <c r="F4" s="53"/>
      <c r="G4" s="53"/>
      <c r="H4" s="54"/>
    </row>
    <row r="5" spans="1:8" ht="24.75" customHeight="1" x14ac:dyDescent="0.3">
      <c r="B5" s="9" t="s">
        <v>177</v>
      </c>
      <c r="C5" s="9" t="s">
        <v>178</v>
      </c>
      <c r="D5" s="9" t="s">
        <v>4</v>
      </c>
      <c r="E5" s="9" t="s">
        <v>5</v>
      </c>
      <c r="F5" s="9" t="s">
        <v>7</v>
      </c>
      <c r="G5" s="9" t="s">
        <v>354</v>
      </c>
      <c r="H5" s="9" t="s">
        <v>231</v>
      </c>
    </row>
    <row r="7" spans="1:8" ht="19.5" customHeight="1" x14ac:dyDescent="0.3">
      <c r="B7" s="21" t="s">
        <v>396</v>
      </c>
      <c r="C7" s="22" t="s">
        <v>383</v>
      </c>
      <c r="D7" s="22">
        <f>IFERROR(INT(MOD($E$40/16,2)),"")</f>
        <v>1</v>
      </c>
      <c r="E7" s="36"/>
      <c r="F7" s="21" t="s">
        <v>397</v>
      </c>
      <c r="G7" s="21"/>
      <c r="H7" s="21" t="str">
        <f>IF(D7=1,"Поле присутствует","Поле отсутствует")</f>
        <v>Поле присутствует</v>
      </c>
    </row>
    <row r="8" spans="1:8" ht="19.5" customHeight="1" x14ac:dyDescent="0.3">
      <c r="B8" s="21" t="s">
        <v>398</v>
      </c>
      <c r="C8" s="22" t="s">
        <v>383</v>
      </c>
      <c r="D8" s="22">
        <f>IFERROR(INT(MOD($E$40/8,2)),"")</f>
        <v>1</v>
      </c>
      <c r="E8" s="36"/>
      <c r="F8" s="21" t="s">
        <v>399</v>
      </c>
      <c r="G8" s="21"/>
      <c r="H8" s="21" t="str">
        <f>IF(D8=1,"Поле присутствует","Поле отсутствует")</f>
        <v>Поле присутствует</v>
      </c>
    </row>
    <row r="9" spans="1:8" ht="19.5" customHeight="1" x14ac:dyDescent="0.3">
      <c r="B9" s="21" t="s">
        <v>400</v>
      </c>
      <c r="C9" s="22" t="s">
        <v>383</v>
      </c>
      <c r="D9" s="22">
        <f>IFERROR(INT(MOD($E$40/4,2)),"")</f>
        <v>1</v>
      </c>
      <c r="E9" s="36"/>
      <c r="F9" s="21" t="s">
        <v>401</v>
      </c>
      <c r="G9" s="21"/>
      <c r="H9" s="21" t="str">
        <f>IF(D9=1,"Поле присутствует","Поле отсутствует")</f>
        <v>Поле присутствует</v>
      </c>
    </row>
    <row r="10" spans="1:8" ht="19.5" customHeight="1" x14ac:dyDescent="0.3">
      <c r="B10" s="21" t="s">
        <v>402</v>
      </c>
      <c r="C10" s="22" t="s">
        <v>383</v>
      </c>
      <c r="D10" s="22">
        <f>IFERROR(INT(MOD($E$40/2,2)),"")</f>
        <v>1</v>
      </c>
      <c r="E10" s="36"/>
      <c r="F10" s="21" t="s">
        <v>403</v>
      </c>
      <c r="G10" s="21"/>
      <c r="H10" s="21" t="str">
        <f>IF(D10=1,"Поле присутствует","Поле отсутствует")</f>
        <v>Поле присутствует</v>
      </c>
    </row>
    <row r="11" spans="1:8" ht="19.5" customHeight="1" x14ac:dyDescent="0.3">
      <c r="B11" s="21" t="s">
        <v>404</v>
      </c>
      <c r="C11" s="22" t="s">
        <v>383</v>
      </c>
      <c r="D11" s="22">
        <f>IFERROR(INT(MOD($E$40/1,2)),"")</f>
        <v>1</v>
      </c>
      <c r="E11" s="36"/>
      <c r="F11" s="21" t="s">
        <v>405</v>
      </c>
      <c r="G11" s="21"/>
      <c r="H11" s="21" t="str">
        <f>IF(D11=1,"Поле присутствует","Поле отсутствует")</f>
        <v>Поле присутствует</v>
      </c>
    </row>
    <row r="13" spans="1:8" ht="21.75" customHeight="1" x14ac:dyDescent="0.3">
      <c r="B13" s="24" t="s">
        <v>406</v>
      </c>
      <c r="C13" s="26" t="str">
        <f>IF(D11=1,(2)&amp;"-"&amp;((2)+1),"—")</f>
        <v>2-3</v>
      </c>
      <c r="D13" s="26" t="str">
        <f>IF(D11=1,INDEX($D$40:$D$49,2)&amp;" "&amp;INDEX($D$40:$D$49,(2)+1),"—")</f>
        <v>23 01</v>
      </c>
      <c r="E13" s="25">
        <f>IF(D11=1,INDEX($E$40:$E$49,(2)+1)*256+INDEX($E$40:$E$49,2),"")</f>
        <v>291</v>
      </c>
      <c r="F13" s="1" t="s">
        <v>407</v>
      </c>
      <c r="G13" s="1"/>
      <c r="H13" s="1" t="str">
        <f>IF(D11=1,"VDOP = "&amp;E13,"➖ Поле отсутствует")</f>
        <v>VDOP = 291</v>
      </c>
    </row>
    <row r="14" spans="1:8" ht="21.75" customHeight="1" x14ac:dyDescent="0.3">
      <c r="B14" s="24" t="s">
        <v>408</v>
      </c>
      <c r="C14" s="26" t="str">
        <f>IF(D10=1,(2+2*D11)&amp;"-"&amp;((2+2*D11)+1),"—")</f>
        <v>4-5</v>
      </c>
      <c r="D14" s="26" t="str">
        <f>IF(D10=1,INDEX($D$40:$D$49,2+2*D11)&amp;" "&amp;INDEX($D$40:$D$49,(2+2*D11)+1),"—")</f>
        <v>56 04</v>
      </c>
      <c r="E14" s="25">
        <f>IF(D10=1,INDEX($E$40:$E$49,(2+2*D11)+1)*256+INDEX($E$40:$E$49,2+2*D11),"")</f>
        <v>1110</v>
      </c>
      <c r="F14" s="1" t="s">
        <v>409</v>
      </c>
      <c r="G14" s="1"/>
      <c r="H14" s="1" t="str">
        <f>IF(D10=1,"HDOP = "&amp;E14,"➖ Поле отсутствует")</f>
        <v>HDOP = 1110</v>
      </c>
    </row>
    <row r="15" spans="1:8" ht="21.75" customHeight="1" x14ac:dyDescent="0.3">
      <c r="B15" s="24" t="s">
        <v>410</v>
      </c>
      <c r="C15" s="26" t="str">
        <f>IF(D9=1,(2+2*D11+2*D10)&amp;"-"&amp;((2+2*D11+2*D10)+1),"—")</f>
        <v>6-7</v>
      </c>
      <c r="D15" s="26" t="str">
        <f>IF(D9=1,INDEX($D$40:$D$49,2+2*D11+2*D10)&amp;" "&amp;INDEX($D$40:$D$49,(2+2*D11+2*D10)+1),"—")</f>
        <v>89 07</v>
      </c>
      <c r="E15" s="25">
        <f>IF(D9=1,INDEX($E$40:$E$49,(2+2*D11+2*D10)+1)*256+INDEX($E$40:$E$49,2+2*D11+2*D10),"")</f>
        <v>1929</v>
      </c>
      <c r="F15" s="1" t="s">
        <v>411</v>
      </c>
      <c r="G15" s="1"/>
      <c r="H15" s="1" t="str">
        <f>IF(D9=1,"PDOP = "&amp;E15,"➖ Поле отсутствует")</f>
        <v>PDOP = 1929</v>
      </c>
    </row>
    <row r="16" spans="1:8" ht="21.75" customHeight="1" x14ac:dyDescent="0.3">
      <c r="B16" s="24" t="s">
        <v>412</v>
      </c>
      <c r="C16" s="26">
        <f>IF(D8=1,1+2*D11+2*D10+2*D9+1,"—")</f>
        <v>8</v>
      </c>
      <c r="D16" s="26" t="str">
        <f>IF(D8=1,INDEX($D$40:$D$49,1+2*D11+2*D10+2*D9+1),"—")</f>
        <v>0C</v>
      </c>
      <c r="E16" s="25">
        <f>IF(D8=1,INDEX($E$40:$E$49,1+2*D11+2*D10+2*D9+1),"")</f>
        <v>12</v>
      </c>
      <c r="F16" s="1" t="s">
        <v>413</v>
      </c>
      <c r="G16" s="1"/>
      <c r="H16" s="1" t="str">
        <f>IF(D8=1,"Спутников: "&amp;E16,"➖ Поле отсутствует")</f>
        <v>Спутников: 12</v>
      </c>
    </row>
    <row r="17" spans="2:8" ht="21.75" customHeight="1" x14ac:dyDescent="0.3">
      <c r="B17" s="24" t="s">
        <v>414</v>
      </c>
      <c r="C17" s="26" t="str">
        <f>IF(D7=1,(2+2*D11+2*D10+2*D9+D8)&amp;"-"&amp;((2+2*D11+2*D10+2*D9+D8)+1),"—")</f>
        <v>9-10</v>
      </c>
      <c r="D17" s="26" t="str">
        <f>IF(D7=1,INDEX($D$40:$D$49,2+2*D11+2*D10+2*D9+D8)&amp;" "&amp;INDEX($D$40:$D$49,(2+2*D11+2*D10+2*D9+D8)+1),"—")</f>
        <v>03 00</v>
      </c>
      <c r="E17" s="25">
        <f>IF(D7=1,INDEX($E$40:$E$49,(2+2*D11+2*D10+2*D9+D8)+1)*256+INDEX($E$40:$E$49,2+2*D11+2*D10+2*D9+D8),"")</f>
        <v>3</v>
      </c>
      <c r="F17" s="1" t="s">
        <v>415</v>
      </c>
      <c r="G17" s="1"/>
      <c r="H17" s="1" t="str">
        <f>IF(D7=1,"NS = "&amp;E17,"➖ Поле отсутствует")</f>
        <v>NS = 3</v>
      </c>
    </row>
    <row r="39" spans="2:8" ht="15" customHeight="1" x14ac:dyDescent="0.3">
      <c r="B39" s="59" t="s">
        <v>416</v>
      </c>
      <c r="C39" s="53"/>
      <c r="D39" s="53"/>
      <c r="E39" s="53"/>
      <c r="F39" s="53"/>
      <c r="G39" s="53"/>
      <c r="H39" s="54"/>
    </row>
    <row r="40" spans="2:8" ht="18" customHeight="1" x14ac:dyDescent="0.3">
      <c r="B40" s="23" t="s">
        <v>77</v>
      </c>
      <c r="C40" s="16" t="s">
        <v>383</v>
      </c>
      <c r="D40" s="16" t="str">
        <f>IFERROR(UPPER(TRIM(MID(SUBSTITUTE(B3," ",REPT(" ",10)),((1)-1)*12+1,10))),"")</f>
        <v>1F</v>
      </c>
      <c r="E40" s="15">
        <f t="shared" ref="E40:E49" si="0">IFERROR(HEX2DEC(D40),"")</f>
        <v>31</v>
      </c>
      <c r="F40" s="2"/>
      <c r="G40" s="2"/>
      <c r="H40" s="2"/>
    </row>
    <row r="41" spans="2:8" ht="18" customHeight="1" x14ac:dyDescent="0.3">
      <c r="B41" s="23" t="s">
        <v>78</v>
      </c>
      <c r="C41" s="16" t="s">
        <v>384</v>
      </c>
      <c r="D41" s="16" t="str">
        <f>IFERROR(UPPER(TRIM(MID(SUBSTITUTE(B3," ",REPT(" ",10)),((2)-1)*12+1,10))),"")</f>
        <v>23</v>
      </c>
      <c r="E41" s="15">
        <f t="shared" si="0"/>
        <v>35</v>
      </c>
      <c r="F41" s="2"/>
      <c r="G41" s="2"/>
      <c r="H41" s="2"/>
    </row>
    <row r="42" spans="2:8" ht="18" customHeight="1" x14ac:dyDescent="0.3">
      <c r="B42" s="23" t="s">
        <v>79</v>
      </c>
      <c r="C42" s="16" t="s">
        <v>385</v>
      </c>
      <c r="D42" s="16" t="str">
        <f>IFERROR(UPPER(TRIM(MID(SUBSTITUTE(B3," ",REPT(" ",10)),((3)-1)*12+1,10))),"")</f>
        <v>01</v>
      </c>
      <c r="E42" s="15">
        <f t="shared" si="0"/>
        <v>1</v>
      </c>
      <c r="F42" s="2"/>
      <c r="G42" s="2"/>
      <c r="H42" s="2"/>
    </row>
    <row r="43" spans="2:8" ht="18" customHeight="1" x14ac:dyDescent="0.3">
      <c r="B43" s="23" t="s">
        <v>80</v>
      </c>
      <c r="C43" s="16" t="s">
        <v>386</v>
      </c>
      <c r="D43" s="16" t="str">
        <f>IFERROR(UPPER(TRIM(MID(SUBSTITUTE(B3," ",REPT(" ",10)),((4)-1)*12+1,10))),"")</f>
        <v>56</v>
      </c>
      <c r="E43" s="15">
        <f t="shared" si="0"/>
        <v>86</v>
      </c>
      <c r="F43" s="2"/>
      <c r="G43" s="2"/>
      <c r="H43" s="2"/>
    </row>
    <row r="44" spans="2:8" ht="18" customHeight="1" x14ac:dyDescent="0.3">
      <c r="B44" s="23" t="s">
        <v>81</v>
      </c>
      <c r="C44" s="16" t="s">
        <v>234</v>
      </c>
      <c r="D44" s="16" t="str">
        <f>IFERROR(UPPER(TRIM(MID(SUBSTITUTE(B3," ",REPT(" ",10)),((5)-1)*12+1,10))),"")</f>
        <v>04</v>
      </c>
      <c r="E44" s="15">
        <f t="shared" si="0"/>
        <v>4</v>
      </c>
      <c r="F44" s="2"/>
      <c r="G44" s="2"/>
      <c r="H44" s="2"/>
    </row>
    <row r="45" spans="2:8" ht="18" customHeight="1" x14ac:dyDescent="0.3">
      <c r="B45" s="23" t="s">
        <v>82</v>
      </c>
      <c r="C45" s="16" t="s">
        <v>387</v>
      </c>
      <c r="D45" s="16" t="str">
        <f>IFERROR(UPPER(TRIM(MID(SUBSTITUTE(B3," ",REPT(" ",10)),((6)-1)*12+1,10))),"")</f>
        <v>89</v>
      </c>
      <c r="E45" s="15">
        <f t="shared" si="0"/>
        <v>137</v>
      </c>
      <c r="F45" s="2"/>
      <c r="G45" s="2"/>
      <c r="H45" s="2"/>
    </row>
    <row r="46" spans="2:8" ht="18" customHeight="1" x14ac:dyDescent="0.3">
      <c r="B46" s="23" t="s">
        <v>83</v>
      </c>
      <c r="C46" s="16" t="s">
        <v>388</v>
      </c>
      <c r="D46" s="16" t="str">
        <f>IFERROR(UPPER(TRIM(MID(SUBSTITUTE(B3," ",REPT(" ",10)),((7)-1)*12+1,10))),"")</f>
        <v>07</v>
      </c>
      <c r="E46" s="15">
        <f t="shared" si="0"/>
        <v>7</v>
      </c>
      <c r="F46" s="2"/>
      <c r="G46" s="2"/>
      <c r="H46" s="2"/>
    </row>
    <row r="47" spans="2:8" ht="18" customHeight="1" x14ac:dyDescent="0.3">
      <c r="B47" s="23" t="s">
        <v>84</v>
      </c>
      <c r="C47" s="16" t="s">
        <v>389</v>
      </c>
      <c r="D47" s="16" t="str">
        <f>IFERROR(UPPER(TRIM(MID(SUBSTITUTE(B3," ",REPT(" ",10)),((8)-1)*12+1,10))),"")</f>
        <v>0C</v>
      </c>
      <c r="E47" s="15">
        <f t="shared" si="0"/>
        <v>12</v>
      </c>
      <c r="F47" s="2"/>
      <c r="G47" s="2"/>
      <c r="H47" s="2"/>
    </row>
    <row r="48" spans="2:8" ht="18" customHeight="1" x14ac:dyDescent="0.3">
      <c r="B48" s="23" t="s">
        <v>85</v>
      </c>
      <c r="C48" s="16" t="s">
        <v>390</v>
      </c>
      <c r="D48" s="16" t="str">
        <f>IFERROR(UPPER(TRIM(MID(SUBSTITUTE(B3," ",REPT(" ",10)),((9)-1)*12+1,10))),"")</f>
        <v>03</v>
      </c>
      <c r="E48" s="15">
        <f t="shared" si="0"/>
        <v>3</v>
      </c>
      <c r="F48" s="2"/>
      <c r="G48" s="2"/>
      <c r="H48" s="2"/>
    </row>
    <row r="49" spans="2:8" ht="18" customHeight="1" x14ac:dyDescent="0.3">
      <c r="B49" s="23" t="s">
        <v>86</v>
      </c>
      <c r="C49" s="16" t="s">
        <v>41</v>
      </c>
      <c r="D49" s="16" t="str">
        <f>IFERROR(UPPER(TRIM(MID(SUBSTITUTE(B3," ",REPT(" ",10)),((10)-1)*12+1,10))),"")</f>
        <v>00</v>
      </c>
      <c r="E49" s="15">
        <f t="shared" si="0"/>
        <v>0</v>
      </c>
      <c r="F49" s="2"/>
      <c r="G49" s="2"/>
      <c r="H49" s="2"/>
    </row>
  </sheetData>
  <mergeCells count="5">
    <mergeCell ref="A1:H1"/>
    <mergeCell ref="B2:H2"/>
    <mergeCell ref="B3:H3"/>
    <mergeCell ref="B4:H4"/>
    <mergeCell ref="B39:H3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EB07-7100-43C1-9F54-A12725A5A7A8}">
  <sheetPr>
    <tabColor rgb="FF70AD47"/>
  </sheetPr>
  <dimension ref="A1:H34"/>
  <sheetViews>
    <sheetView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D6" sqref="D6"/>
    </sheetView>
  </sheetViews>
  <sheetFormatPr defaultColWidth="8.6640625" defaultRowHeight="14.4" x14ac:dyDescent="0.3"/>
  <cols>
    <col min="1" max="1" width="3" customWidth="1"/>
    <col min="2" max="2" width="26" customWidth="1"/>
    <col min="3" max="3" width="11" customWidth="1"/>
    <col min="4" max="4" width="19.44140625" customWidth="1"/>
    <col min="5" max="5" width="17.33203125" customWidth="1"/>
    <col min="6" max="6" width="85" customWidth="1"/>
    <col min="7" max="7" width="25" customWidth="1"/>
    <col min="8" max="8" width="36" customWidth="1"/>
  </cols>
  <sheetData>
    <row r="1" spans="1:8" ht="34.5" customHeight="1" x14ac:dyDescent="0.3">
      <c r="A1" s="52" t="s">
        <v>417</v>
      </c>
      <c r="B1" s="53"/>
      <c r="C1" s="53"/>
      <c r="D1" s="53"/>
      <c r="E1" s="53"/>
      <c r="F1" s="53"/>
      <c r="G1" s="53"/>
      <c r="H1" s="54"/>
    </row>
    <row r="2" spans="1:8" ht="21.75" customHeight="1" x14ac:dyDescent="0.3">
      <c r="B2" s="61" t="s">
        <v>418</v>
      </c>
      <c r="C2" s="53"/>
      <c r="D2" s="53"/>
      <c r="E2" s="53"/>
      <c r="F2" s="53"/>
      <c r="G2" s="53"/>
      <c r="H2" s="54"/>
    </row>
    <row r="3" spans="1:8" ht="27.75" customHeight="1" x14ac:dyDescent="0.3">
      <c r="B3" s="55" t="s">
        <v>419</v>
      </c>
      <c r="C3" s="56"/>
      <c r="D3" s="56"/>
      <c r="E3" s="56"/>
      <c r="F3" s="56"/>
      <c r="G3" s="56"/>
      <c r="H3" s="57"/>
    </row>
    <row r="4" spans="1:8" ht="19.5" customHeight="1" x14ac:dyDescent="0.3">
      <c r="B4" s="66" t="str">
        <f>IFERROR("📊 Всего байт: "&amp;LEN(TRIM(B3))-LEN(SUBSTITUTE(TRIM(B3)," ",""))+1,"")</f>
        <v>📊 Всего байт: 5</v>
      </c>
      <c r="C4" s="53"/>
      <c r="D4" s="53"/>
      <c r="E4" s="53"/>
      <c r="F4" s="53"/>
      <c r="G4" s="53"/>
      <c r="H4" s="54"/>
    </row>
    <row r="5" spans="1:8" ht="24.75" customHeight="1" x14ac:dyDescent="0.3">
      <c r="B5" s="9" t="s">
        <v>177</v>
      </c>
      <c r="C5" s="9" t="s">
        <v>178</v>
      </c>
      <c r="D5" s="9" t="s">
        <v>4</v>
      </c>
      <c r="E5" s="9" t="s">
        <v>5</v>
      </c>
      <c r="F5" s="9" t="s">
        <v>7</v>
      </c>
      <c r="G5" s="9" t="s">
        <v>354</v>
      </c>
      <c r="H5" s="9" t="s">
        <v>231</v>
      </c>
    </row>
    <row r="6" spans="1:8" ht="21.75" customHeight="1" x14ac:dyDescent="0.3">
      <c r="B6" s="24" t="s">
        <v>420</v>
      </c>
      <c r="C6" s="26" t="s">
        <v>383</v>
      </c>
      <c r="D6" s="26" t="str">
        <f>$D$30</f>
        <v>02</v>
      </c>
      <c r="E6" s="25">
        <f>$E$30</f>
        <v>2</v>
      </c>
      <c r="F6" s="1" t="s">
        <v>421</v>
      </c>
      <c r="G6" s="1"/>
      <c r="H6" s="1" t="str">
        <f>IFERROR(VLOOKUP(E6,'📚 СПРАВОЧНИК'!$B$90:$C$97,2,0),"⚠️ Код "&amp;E6)</f>
        <v>Активный</v>
      </c>
    </row>
    <row r="7" spans="1:8" ht="21.75" customHeight="1" x14ac:dyDescent="0.3">
      <c r="B7" s="24" t="s">
        <v>422</v>
      </c>
      <c r="C7" s="26" t="s">
        <v>384</v>
      </c>
      <c r="D7" s="26" t="str">
        <f>$D$31</f>
        <v>86</v>
      </c>
      <c r="E7" s="25">
        <f>$E$31</f>
        <v>134</v>
      </c>
      <c r="F7" s="1" t="s">
        <v>423</v>
      </c>
      <c r="G7" s="1"/>
      <c r="H7" s="1" t="str">
        <f>"MPSV = "&amp;E7</f>
        <v>MPSV = 134</v>
      </c>
    </row>
    <row r="8" spans="1:8" ht="21.75" customHeight="1" x14ac:dyDescent="0.3">
      <c r="B8" s="24" t="s">
        <v>424</v>
      </c>
      <c r="C8" s="26" t="s">
        <v>385</v>
      </c>
      <c r="D8" s="26" t="str">
        <f>$D$32</f>
        <v>29</v>
      </c>
      <c r="E8" s="25">
        <f>$E$32</f>
        <v>41</v>
      </c>
      <c r="F8" s="1" t="s">
        <v>425</v>
      </c>
      <c r="G8" s="1"/>
      <c r="H8" s="1" t="str">
        <f>"BBV = "&amp;E8</f>
        <v>BBV = 41</v>
      </c>
    </row>
    <row r="9" spans="1:8" ht="21.75" customHeight="1" x14ac:dyDescent="0.3">
      <c r="B9" s="24" t="s">
        <v>426</v>
      </c>
      <c r="C9" s="26" t="s">
        <v>386</v>
      </c>
      <c r="D9" s="26" t="str">
        <f>$D$33</f>
        <v>04</v>
      </c>
      <c r="E9" s="25">
        <f>$E$33</f>
        <v>4</v>
      </c>
      <c r="F9" s="1" t="s">
        <v>427</v>
      </c>
      <c r="G9" s="1"/>
      <c r="H9" s="1" t="str">
        <f>"IBV = "&amp;E9</f>
        <v>IBV = 4</v>
      </c>
    </row>
    <row r="10" spans="1:8" ht="21.75" customHeight="1" x14ac:dyDescent="0.3">
      <c r="B10" s="24" t="s">
        <v>190</v>
      </c>
      <c r="C10" s="26" t="s">
        <v>234</v>
      </c>
      <c r="D10" s="26" t="str">
        <f>$D$34</f>
        <v>07</v>
      </c>
      <c r="E10" s="25">
        <f>$E$34</f>
        <v>7</v>
      </c>
      <c r="F10" s="1" t="s">
        <v>428</v>
      </c>
      <c r="G10" s="1" t="str">
        <f>IFERROR(DEC2BIN(E10,8),"")</f>
        <v>00000111</v>
      </c>
      <c r="H10" s="1" t="str">
        <f>"Флаги состояния"</f>
        <v>Флаги состояния</v>
      </c>
    </row>
    <row r="11" spans="1:8" ht="19.5" customHeight="1" x14ac:dyDescent="0.3">
      <c r="B11" s="21" t="s">
        <v>429</v>
      </c>
      <c r="C11" s="22" t="s">
        <v>234</v>
      </c>
      <c r="D11" s="22">
        <f>IFERROR(INT(MOD($E$34/4,2)),"")</f>
        <v>1</v>
      </c>
      <c r="E11" s="36"/>
      <c r="F11" s="21" t="s">
        <v>430</v>
      </c>
      <c r="G11" s="21"/>
      <c r="H11" s="21" t="str">
        <f>IF(D11=1,"Неисправность навигационного модуля","Навигационный модуль исправен")</f>
        <v>Неисправность навигационного модуля</v>
      </c>
    </row>
    <row r="12" spans="1:8" ht="19.5" customHeight="1" x14ac:dyDescent="0.3">
      <c r="B12" s="21" t="s">
        <v>431</v>
      </c>
      <c r="C12" s="22" t="s">
        <v>234</v>
      </c>
      <c r="D12" s="22">
        <f>IFERROR(INT(MOD($E$34/2,2)),"")</f>
        <v>1</v>
      </c>
      <c r="E12" s="36"/>
      <c r="F12" s="21" t="s">
        <v>432</v>
      </c>
      <c r="G12" s="21"/>
      <c r="H12" s="21" t="str">
        <f>IF(D12=1,"Работа от внутренней батареи","Не используется внутренняя батарея")</f>
        <v>Работа от внутренней батареи</v>
      </c>
    </row>
    <row r="13" spans="1:8" ht="19.5" customHeight="1" x14ac:dyDescent="0.3">
      <c r="B13" s="21" t="s">
        <v>433</v>
      </c>
      <c r="C13" s="22" t="s">
        <v>234</v>
      </c>
      <c r="D13" s="22">
        <f>IFERROR(INT(MOD($E$34/1,2)),"")</f>
        <v>1</v>
      </c>
      <c r="E13" s="36"/>
      <c r="F13" s="21" t="s">
        <v>434</v>
      </c>
      <c r="G13" s="21"/>
      <c r="H13" s="21" t="str">
        <f>IF(D13=1,"Работа от резервной батареи","Не используется резервная батарея")</f>
        <v>Работа от резервной батареи</v>
      </c>
    </row>
    <row r="29" spans="2:8" ht="15" customHeight="1" x14ac:dyDescent="0.3">
      <c r="B29" s="59" t="s">
        <v>416</v>
      </c>
      <c r="C29" s="53"/>
      <c r="D29" s="53"/>
      <c r="E29" s="53"/>
      <c r="F29" s="53"/>
      <c r="G29" s="53"/>
      <c r="H29" s="54"/>
    </row>
    <row r="30" spans="2:8" ht="18" customHeight="1" x14ac:dyDescent="0.3">
      <c r="B30" s="23" t="s">
        <v>77</v>
      </c>
      <c r="C30" s="16" t="s">
        <v>383</v>
      </c>
      <c r="D30" s="16" t="str">
        <f>IFERROR(UPPER(TRIM(MID(SUBSTITUTE(B3," ",REPT(" ",10)),((1)-1)*12+1,10))),"")</f>
        <v>02</v>
      </c>
      <c r="E30" s="15">
        <f>IFERROR(HEX2DEC(D30),"")</f>
        <v>2</v>
      </c>
      <c r="F30" s="2"/>
      <c r="G30" s="2"/>
      <c r="H30" s="2"/>
    </row>
    <row r="31" spans="2:8" ht="18" customHeight="1" x14ac:dyDescent="0.3">
      <c r="B31" s="23" t="s">
        <v>78</v>
      </c>
      <c r="C31" s="16" t="s">
        <v>384</v>
      </c>
      <c r="D31" s="16" t="str">
        <f>IFERROR(UPPER(TRIM(MID(SUBSTITUTE(B3," ",REPT(" ",10)),((2)-1)*12+1,10))),"")</f>
        <v>86</v>
      </c>
      <c r="E31" s="15">
        <f>IFERROR(HEX2DEC(D31),"")</f>
        <v>134</v>
      </c>
      <c r="F31" s="2"/>
      <c r="G31" s="2"/>
      <c r="H31" s="2"/>
    </row>
    <row r="32" spans="2:8" ht="18" customHeight="1" x14ac:dyDescent="0.3">
      <c r="B32" s="23" t="s">
        <v>79</v>
      </c>
      <c r="C32" s="16" t="s">
        <v>385</v>
      </c>
      <c r="D32" s="16" t="str">
        <f>IFERROR(UPPER(TRIM(MID(SUBSTITUTE(B3," ",REPT(" ",10)),((3)-1)*12+1,10))),"")</f>
        <v>29</v>
      </c>
      <c r="E32" s="15">
        <f>IFERROR(HEX2DEC(D32),"")</f>
        <v>41</v>
      </c>
      <c r="F32" s="2"/>
      <c r="G32" s="2"/>
      <c r="H32" s="2"/>
    </row>
    <row r="33" spans="2:8" ht="18" customHeight="1" x14ac:dyDescent="0.3">
      <c r="B33" s="23" t="s">
        <v>80</v>
      </c>
      <c r="C33" s="16" t="s">
        <v>386</v>
      </c>
      <c r="D33" s="16" t="str">
        <f>IFERROR(UPPER(TRIM(MID(SUBSTITUTE(B3," ",REPT(" ",10)),((4)-1)*12+1,10))),"")</f>
        <v>04</v>
      </c>
      <c r="E33" s="15">
        <f>IFERROR(HEX2DEC(D33),"")</f>
        <v>4</v>
      </c>
      <c r="F33" s="2"/>
      <c r="G33" s="2"/>
      <c r="H33" s="2"/>
    </row>
    <row r="34" spans="2:8" ht="18" customHeight="1" x14ac:dyDescent="0.3">
      <c r="B34" s="23" t="s">
        <v>81</v>
      </c>
      <c r="C34" s="16" t="s">
        <v>234</v>
      </c>
      <c r="D34" s="16" t="str">
        <f>IFERROR(UPPER(TRIM(MID(SUBSTITUTE(B3," ",REPT(" ",10)),((5)-1)*12+1,10))),"")</f>
        <v>07</v>
      </c>
      <c r="E34" s="15">
        <f>IFERROR(HEX2DEC(D34),"")</f>
        <v>7</v>
      </c>
      <c r="F34" s="2"/>
      <c r="G34" s="2"/>
      <c r="H34" s="2"/>
    </row>
  </sheetData>
  <mergeCells count="5">
    <mergeCell ref="A1:H1"/>
    <mergeCell ref="B2:H2"/>
    <mergeCell ref="B3:H3"/>
    <mergeCell ref="B4:H4"/>
    <mergeCell ref="B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7BD1-CF8A-48BB-9585-A1C70C3C190B}">
  <sheetPr>
    <tabColor rgb="FFFFC000"/>
  </sheetPr>
  <dimension ref="A1:H84"/>
  <sheetViews>
    <sheetView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D6" sqref="D6"/>
    </sheetView>
  </sheetViews>
  <sheetFormatPr defaultColWidth="8.6640625" defaultRowHeight="14.4" x14ac:dyDescent="0.3"/>
  <cols>
    <col min="1" max="1" width="3" customWidth="1"/>
    <col min="2" max="2" width="26" customWidth="1"/>
    <col min="3" max="3" width="11" customWidth="1"/>
    <col min="4" max="4" width="19.44140625" customWidth="1"/>
    <col min="5" max="5" width="17.33203125" customWidth="1"/>
    <col min="6" max="6" width="85" customWidth="1"/>
    <col min="7" max="7" width="25" customWidth="1"/>
    <col min="8" max="8" width="36" customWidth="1"/>
  </cols>
  <sheetData>
    <row r="1" spans="1:8" ht="34.5" customHeight="1" x14ac:dyDescent="0.3">
      <c r="A1" s="52" t="s">
        <v>435</v>
      </c>
      <c r="B1" s="53"/>
      <c r="C1" s="53"/>
      <c r="D1" s="53"/>
      <c r="E1" s="53"/>
      <c r="F1" s="53"/>
      <c r="G1" s="53"/>
      <c r="H1" s="54"/>
    </row>
    <row r="2" spans="1:8" ht="21.75" customHeight="1" x14ac:dyDescent="0.3">
      <c r="B2" s="61" t="s">
        <v>436</v>
      </c>
      <c r="C2" s="53"/>
      <c r="D2" s="53"/>
      <c r="E2" s="53"/>
      <c r="F2" s="53"/>
      <c r="G2" s="53"/>
      <c r="H2" s="54"/>
    </row>
    <row r="3" spans="1:8" ht="27.75" customHeight="1" x14ac:dyDescent="0.3">
      <c r="B3" s="55" t="s">
        <v>437</v>
      </c>
      <c r="C3" s="56"/>
      <c r="D3" s="56"/>
      <c r="E3" s="56"/>
      <c r="F3" s="56"/>
      <c r="G3" s="56"/>
      <c r="H3" s="57"/>
    </row>
    <row r="4" spans="1:8" ht="19.5" customHeight="1" x14ac:dyDescent="0.3">
      <c r="B4" s="66" t="str">
        <f>IFERROR("📊 Всего байт: "&amp;LEN(TRIM(B3))-LEN(SUBSTITUTE(TRIM(B3)," ",""))+1,"")</f>
        <v>📊 Всего байт: 35</v>
      </c>
      <c r="C4" s="53"/>
      <c r="D4" s="53"/>
      <c r="E4" s="53"/>
      <c r="F4" s="53"/>
      <c r="G4" s="53"/>
      <c r="H4" s="54"/>
    </row>
    <row r="5" spans="1:8" ht="24.75" customHeight="1" x14ac:dyDescent="0.3">
      <c r="B5" s="9" t="s">
        <v>177</v>
      </c>
      <c r="C5" s="9" t="s">
        <v>178</v>
      </c>
      <c r="D5" s="9" t="s">
        <v>4</v>
      </c>
      <c r="E5" s="9" t="s">
        <v>5</v>
      </c>
      <c r="F5" s="9" t="s">
        <v>7</v>
      </c>
      <c r="G5" s="9" t="s">
        <v>354</v>
      </c>
      <c r="H5" s="9" t="s">
        <v>231</v>
      </c>
    </row>
    <row r="6" spans="1:8" ht="21.75" customHeight="1" x14ac:dyDescent="0.3">
      <c r="B6" s="24" t="s">
        <v>438</v>
      </c>
      <c r="C6" s="26" t="s">
        <v>383</v>
      </c>
      <c r="D6" s="26" t="str">
        <f>$D$50</f>
        <v>FF</v>
      </c>
      <c r="E6" s="25">
        <f>$E$50</f>
        <v>255</v>
      </c>
      <c r="F6" s="1" t="s">
        <v>439</v>
      </c>
      <c r="G6" s="1" t="str">
        <f>IFERROR(DEC2BIN(E6,8),"")</f>
        <v>11111111</v>
      </c>
      <c r="H6" s="1" t="str">
        <f>"Дополнительные дискретные входы"</f>
        <v>Дополнительные дискретные входы</v>
      </c>
    </row>
    <row r="7" spans="1:8" ht="18" customHeight="1" x14ac:dyDescent="0.3">
      <c r="B7" s="21" t="s">
        <v>440</v>
      </c>
      <c r="C7" s="22" t="s">
        <v>383</v>
      </c>
      <c r="D7" s="22">
        <f>IFERROR(INT(MOD($E$50/1,2)),"")</f>
        <v>1</v>
      </c>
      <c r="E7" s="36"/>
      <c r="F7" s="21" t="s">
        <v>441</v>
      </c>
      <c r="G7" s="21"/>
      <c r="H7" s="21" t="str">
        <f>IF(D7=1,"ADIO1 присутствует","ADIO1 отсутствует")</f>
        <v>ADIO1 присутствует</v>
      </c>
    </row>
    <row r="8" spans="1:8" ht="18" customHeight="1" x14ac:dyDescent="0.3">
      <c r="B8" s="21" t="s">
        <v>442</v>
      </c>
      <c r="C8" s="22" t="s">
        <v>383</v>
      </c>
      <c r="D8" s="22">
        <f>IFERROR(INT(MOD($E$50/2,2)),"")</f>
        <v>1</v>
      </c>
      <c r="E8" s="36"/>
      <c r="F8" s="21" t="s">
        <v>443</v>
      </c>
      <c r="G8" s="21"/>
      <c r="H8" s="21" t="str">
        <f>IF(D8=1,"ADIO2 присутствует","ADIO2 отсутствует")</f>
        <v>ADIO2 присутствует</v>
      </c>
    </row>
    <row r="9" spans="1:8" ht="18" customHeight="1" x14ac:dyDescent="0.3">
      <c r="B9" s="21" t="s">
        <v>444</v>
      </c>
      <c r="C9" s="22" t="s">
        <v>383</v>
      </c>
      <c r="D9" s="22">
        <f>IFERROR(INT(MOD($E$50/4,2)),"")</f>
        <v>1</v>
      </c>
      <c r="E9" s="36"/>
      <c r="F9" s="21" t="s">
        <v>445</v>
      </c>
      <c r="G9" s="21"/>
      <c r="H9" s="21" t="str">
        <f>IF(D9=1,"ADIO3 присутствует","ADIO3 отсутствует")</f>
        <v>ADIO3 присутствует</v>
      </c>
    </row>
    <row r="10" spans="1:8" ht="18" customHeight="1" x14ac:dyDescent="0.3">
      <c r="B10" s="21" t="s">
        <v>446</v>
      </c>
      <c r="C10" s="22" t="s">
        <v>383</v>
      </c>
      <c r="D10" s="22">
        <f>IFERROR(INT(MOD($E$50/8,2)),"")</f>
        <v>1</v>
      </c>
      <c r="E10" s="36"/>
      <c r="F10" s="21" t="s">
        <v>447</v>
      </c>
      <c r="G10" s="21"/>
      <c r="H10" s="21" t="str">
        <f>IF(D10=1,"ADIO4 присутствует","ADIO4 отсутствует")</f>
        <v>ADIO4 присутствует</v>
      </c>
    </row>
    <row r="11" spans="1:8" ht="18" customHeight="1" x14ac:dyDescent="0.3">
      <c r="B11" s="21" t="s">
        <v>448</v>
      </c>
      <c r="C11" s="22" t="s">
        <v>383</v>
      </c>
      <c r="D11" s="22">
        <f>IFERROR(INT(MOD($E$50/16,2)),"")</f>
        <v>1</v>
      </c>
      <c r="E11" s="36"/>
      <c r="F11" s="21" t="s">
        <v>449</v>
      </c>
      <c r="G11" s="21"/>
      <c r="H11" s="21" t="str">
        <f>IF(D11=1,"ADIO5 присутствует","ADIO5 отсутствует")</f>
        <v>ADIO5 присутствует</v>
      </c>
    </row>
    <row r="12" spans="1:8" ht="18" customHeight="1" x14ac:dyDescent="0.3">
      <c r="B12" s="21" t="s">
        <v>450</v>
      </c>
      <c r="C12" s="22" t="s">
        <v>383</v>
      </c>
      <c r="D12" s="22">
        <f>IFERROR(INT(MOD($E$50/32,2)),"")</f>
        <v>1</v>
      </c>
      <c r="E12" s="36"/>
      <c r="F12" s="21" t="s">
        <v>451</v>
      </c>
      <c r="G12" s="21"/>
      <c r="H12" s="21" t="str">
        <f>IF(D12=1,"ADIO6 присутствует","ADIO6 отсутствует")</f>
        <v>ADIO6 присутствует</v>
      </c>
    </row>
    <row r="13" spans="1:8" ht="18" customHeight="1" x14ac:dyDescent="0.3">
      <c r="B13" s="21" t="s">
        <v>452</v>
      </c>
      <c r="C13" s="22" t="s">
        <v>383</v>
      </c>
      <c r="D13" s="22">
        <f>IFERROR(INT(MOD($E$50/64,2)),"")</f>
        <v>1</v>
      </c>
      <c r="E13" s="36"/>
      <c r="F13" s="21" t="s">
        <v>453</v>
      </c>
      <c r="G13" s="21"/>
      <c r="H13" s="21" t="str">
        <f>IF(D13=1,"ADIO7 присутствует","ADIO7 отсутствует")</f>
        <v>ADIO7 присутствует</v>
      </c>
    </row>
    <row r="14" spans="1:8" ht="18" customHeight="1" x14ac:dyDescent="0.3">
      <c r="B14" s="21" t="s">
        <v>454</v>
      </c>
      <c r="C14" s="22" t="s">
        <v>383</v>
      </c>
      <c r="D14" s="22">
        <f>IFERROR(INT(MOD($E$50/128,2)),"")</f>
        <v>1</v>
      </c>
      <c r="E14" s="36"/>
      <c r="F14" s="21" t="s">
        <v>455</v>
      </c>
      <c r="G14" s="21"/>
      <c r="H14" s="21" t="str">
        <f>IF(D14=1,"ADIO8 присутствует","ADIO8 отсутствует")</f>
        <v>ADIO8 присутствует</v>
      </c>
    </row>
    <row r="16" spans="1:8" ht="21.75" customHeight="1" x14ac:dyDescent="0.3">
      <c r="B16" s="24" t="s">
        <v>456</v>
      </c>
      <c r="C16" s="26" t="s">
        <v>384</v>
      </c>
      <c r="D16" s="26" t="str">
        <f>$D$51</f>
        <v>5A</v>
      </c>
      <c r="E16" s="25">
        <f>$E$51</f>
        <v>90</v>
      </c>
      <c r="F16" s="1" t="s">
        <v>457</v>
      </c>
      <c r="G16" s="1" t="str">
        <f>IFERROR(DEC2BIN(E16,8),"")</f>
        <v>01011010</v>
      </c>
      <c r="H16" s="1" t="str">
        <f>"DOUT = "&amp;G16</f>
        <v>DOUT = 01011010</v>
      </c>
    </row>
    <row r="18" spans="2:8" ht="21.75" customHeight="1" x14ac:dyDescent="0.3">
      <c r="B18" s="24" t="s">
        <v>458</v>
      </c>
      <c r="C18" s="26" t="s">
        <v>385</v>
      </c>
      <c r="D18" s="26" t="str">
        <f>$D$52</f>
        <v>FF</v>
      </c>
      <c r="E18" s="25">
        <f>$E$52</f>
        <v>255</v>
      </c>
      <c r="F18" s="1" t="s">
        <v>459</v>
      </c>
      <c r="G18" s="1" t="str">
        <f>IFERROR(DEC2BIN(E18,8),"")</f>
        <v>11111111</v>
      </c>
      <c r="H18" s="1" t="str">
        <f>"Аналоговые датчики"</f>
        <v>Аналоговые датчики</v>
      </c>
    </row>
    <row r="19" spans="2:8" ht="18" customHeight="1" x14ac:dyDescent="0.3">
      <c r="B19" s="21" t="s">
        <v>460</v>
      </c>
      <c r="C19" s="22" t="s">
        <v>385</v>
      </c>
      <c r="D19" s="22">
        <f>IFERROR(INT(MOD($E$52/1,2)),"")</f>
        <v>1</v>
      </c>
      <c r="E19" s="36"/>
      <c r="F19" s="21" t="s">
        <v>461</v>
      </c>
      <c r="G19" s="21"/>
      <c r="H19" s="21" t="str">
        <f>IF(D19=1,"ANS1 присутствует","ANS1 отсутствует")</f>
        <v>ANS1 присутствует</v>
      </c>
    </row>
    <row r="20" spans="2:8" ht="18" customHeight="1" x14ac:dyDescent="0.3">
      <c r="B20" s="21" t="s">
        <v>462</v>
      </c>
      <c r="C20" s="22" t="s">
        <v>385</v>
      </c>
      <c r="D20" s="22">
        <f>IFERROR(INT(MOD($E$52/2,2)),"")</f>
        <v>1</v>
      </c>
      <c r="E20" s="36"/>
      <c r="F20" s="21" t="s">
        <v>463</v>
      </c>
      <c r="G20" s="21"/>
      <c r="H20" s="21" t="str">
        <f>IF(D20=1,"ANS2 присутствует","ANS2 отсутствует")</f>
        <v>ANS2 присутствует</v>
      </c>
    </row>
    <row r="21" spans="2:8" ht="18" customHeight="1" x14ac:dyDescent="0.3">
      <c r="B21" s="21" t="s">
        <v>464</v>
      </c>
      <c r="C21" s="22" t="s">
        <v>385</v>
      </c>
      <c r="D21" s="22">
        <f>IFERROR(INT(MOD($E$52/4,2)),"")</f>
        <v>1</v>
      </c>
      <c r="E21" s="36"/>
      <c r="F21" s="21" t="s">
        <v>465</v>
      </c>
      <c r="G21" s="21"/>
      <c r="H21" s="21" t="str">
        <f>IF(D21=1,"ANS3 присутствует","ANS3 отсутствует")</f>
        <v>ANS3 присутствует</v>
      </c>
    </row>
    <row r="22" spans="2:8" ht="18" customHeight="1" x14ac:dyDescent="0.3">
      <c r="B22" s="21" t="s">
        <v>466</v>
      </c>
      <c r="C22" s="22" t="s">
        <v>385</v>
      </c>
      <c r="D22" s="22">
        <f>IFERROR(INT(MOD($E$52/8,2)),"")</f>
        <v>1</v>
      </c>
      <c r="E22" s="36"/>
      <c r="F22" s="21" t="s">
        <v>467</v>
      </c>
      <c r="G22" s="21"/>
      <c r="H22" s="21" t="str">
        <f>IF(D22=1,"ANS4 присутствует","ANS4 отсутствует")</f>
        <v>ANS4 присутствует</v>
      </c>
    </row>
    <row r="23" spans="2:8" ht="18" customHeight="1" x14ac:dyDescent="0.3">
      <c r="B23" s="21" t="s">
        <v>468</v>
      </c>
      <c r="C23" s="22" t="s">
        <v>385</v>
      </c>
      <c r="D23" s="22">
        <f>IFERROR(INT(MOD($E$52/16,2)),"")</f>
        <v>1</v>
      </c>
      <c r="E23" s="36"/>
      <c r="F23" s="21" t="s">
        <v>469</v>
      </c>
      <c r="G23" s="21"/>
      <c r="H23" s="21" t="str">
        <f>IF(D23=1,"ANS5 присутствует","ANS5 отсутствует")</f>
        <v>ANS5 присутствует</v>
      </c>
    </row>
    <row r="24" spans="2:8" ht="18" customHeight="1" x14ac:dyDescent="0.3">
      <c r="B24" s="21" t="s">
        <v>470</v>
      </c>
      <c r="C24" s="22" t="s">
        <v>385</v>
      </c>
      <c r="D24" s="22">
        <f>IFERROR(INT(MOD($E$52/32,2)),"")</f>
        <v>1</v>
      </c>
      <c r="E24" s="36"/>
      <c r="F24" s="21" t="s">
        <v>471</v>
      </c>
      <c r="G24" s="21"/>
      <c r="H24" s="21" t="str">
        <f>IF(D24=1,"ANS6 присутствует","ANS6 отсутствует")</f>
        <v>ANS6 присутствует</v>
      </c>
    </row>
    <row r="25" spans="2:8" ht="18" customHeight="1" x14ac:dyDescent="0.3">
      <c r="B25" s="21" t="s">
        <v>472</v>
      </c>
      <c r="C25" s="22" t="s">
        <v>385</v>
      </c>
      <c r="D25" s="22">
        <f>IFERROR(INT(MOD($E$52/64,2)),"")</f>
        <v>1</v>
      </c>
      <c r="E25" s="36"/>
      <c r="F25" s="21" t="s">
        <v>473</v>
      </c>
      <c r="G25" s="21"/>
      <c r="H25" s="21" t="str">
        <f>IF(D25=1,"ANS7 присутствует","ANS7 отсутствует")</f>
        <v>ANS7 присутствует</v>
      </c>
    </row>
    <row r="26" spans="2:8" ht="18" customHeight="1" x14ac:dyDescent="0.3">
      <c r="B26" s="21" t="s">
        <v>474</v>
      </c>
      <c r="C26" s="22" t="s">
        <v>385</v>
      </c>
      <c r="D26" s="22">
        <f>IFERROR(INT(MOD($E$52/128,2)),"")</f>
        <v>1</v>
      </c>
      <c r="E26" s="36"/>
      <c r="F26" s="21" t="s">
        <v>475</v>
      </c>
      <c r="G26" s="21"/>
      <c r="H26" s="21" t="str">
        <f>IF(D26=1,"ANS8 присутствует","ANS8 отсутствует")</f>
        <v>ANS8 присутствует</v>
      </c>
    </row>
    <row r="28" spans="2:8" ht="19.95" customHeight="1" x14ac:dyDescent="0.3">
      <c r="B28" s="10" t="s">
        <v>476</v>
      </c>
      <c r="C28" s="12">
        <f>IF(D7=1,4,"—")</f>
        <v>4</v>
      </c>
      <c r="D28" s="12" t="str">
        <f>IF(D7=1,INDEX($D$50:$D$84,4),"—")</f>
        <v>01</v>
      </c>
      <c r="E28" s="11">
        <f>IF(D7=1,INDEX($E$50:$E$84,4),"")</f>
        <v>1</v>
      </c>
      <c r="F28" s="13" t="s">
        <v>477</v>
      </c>
      <c r="G28" s="13" t="str">
        <f t="shared" ref="G28:G35" si="0">IF(D7=1,DEC2BIN(E28,8),"")</f>
        <v>00000001</v>
      </c>
      <c r="H28" s="13" t="str">
        <f>IF(D7=1,"ADIO1 = "&amp;G28,"➖ Поле отсутствует")</f>
        <v>ADIO1 = 00000001</v>
      </c>
    </row>
    <row r="29" spans="2:8" ht="19.95" customHeight="1" x14ac:dyDescent="0.3">
      <c r="B29" s="10" t="s">
        <v>478</v>
      </c>
      <c r="C29" s="12">
        <f>IF(D8=1,4+SUM($D$7:D7),"—")</f>
        <v>5</v>
      </c>
      <c r="D29" s="12" t="str">
        <f>IF(D8=1,INDEX($D$50:$D$84,4+SUM($D$7:D7)),"—")</f>
        <v>00</v>
      </c>
      <c r="E29" s="11">
        <f>IF(D8=1,INDEX($E$50:$E$84,4+SUM($D$7:D7)),"")</f>
        <v>0</v>
      </c>
      <c r="F29" s="13" t="s">
        <v>479</v>
      </c>
      <c r="G29" s="13" t="str">
        <f t="shared" si="0"/>
        <v>00000000</v>
      </c>
      <c r="H29" s="13" t="str">
        <f>IF(D8=1,"ADIO2 = "&amp;G29,"➖ Поле отсутствует")</f>
        <v>ADIO2 = 00000000</v>
      </c>
    </row>
    <row r="30" spans="2:8" ht="19.95" customHeight="1" x14ac:dyDescent="0.3">
      <c r="B30" s="10" t="s">
        <v>480</v>
      </c>
      <c r="C30" s="12">
        <f>IF(D9=1,4+SUM($D$7:D8),"—")</f>
        <v>6</v>
      </c>
      <c r="D30" s="12" t="str">
        <f>IF(D9=1,INDEX($D$50:$D$84,4+SUM($D$7:D8)),"—")</f>
        <v>FF</v>
      </c>
      <c r="E30" s="11">
        <f>IF(D9=1,INDEX($E$50:$E$84,4+SUM($D$7:D8)),"")</f>
        <v>255</v>
      </c>
      <c r="F30" s="13" t="s">
        <v>481</v>
      </c>
      <c r="G30" s="13" t="str">
        <f t="shared" si="0"/>
        <v>11111111</v>
      </c>
      <c r="H30" s="13" t="str">
        <f>IF(D9=1,"ADIO3 = "&amp;G30,"➖ Поле отсутствует")</f>
        <v>ADIO3 = 11111111</v>
      </c>
    </row>
    <row r="31" spans="2:8" ht="19.95" customHeight="1" x14ac:dyDescent="0.3">
      <c r="B31" s="10" t="s">
        <v>482</v>
      </c>
      <c r="C31" s="12">
        <f>IF(D10=1,4+SUM($D$7:D9),"—")</f>
        <v>7</v>
      </c>
      <c r="D31" s="12" t="str">
        <f>IF(D10=1,INDEX($D$50:$D$84,4+SUM($D$7:D9)),"—")</f>
        <v>55</v>
      </c>
      <c r="E31" s="11">
        <f>IF(D10=1,INDEX($E$50:$E$84,4+SUM($D$7:D9)),"")</f>
        <v>85</v>
      </c>
      <c r="F31" s="13" t="s">
        <v>483</v>
      </c>
      <c r="G31" s="13" t="str">
        <f t="shared" si="0"/>
        <v>01010101</v>
      </c>
      <c r="H31" s="13" t="str">
        <f>IF(D10=1,"ADIO4 = "&amp;G31,"➖ Поле отсутствует")</f>
        <v>ADIO4 = 01010101</v>
      </c>
    </row>
    <row r="32" spans="2:8" ht="19.95" customHeight="1" x14ac:dyDescent="0.3">
      <c r="B32" s="10" t="s">
        <v>484</v>
      </c>
      <c r="C32" s="12">
        <f>IF(D11=1,4+SUM($D$7:D10),"—")</f>
        <v>8</v>
      </c>
      <c r="D32" s="12" t="str">
        <f>IF(D11=1,INDEX($D$50:$D$84,4+SUM($D$7:D10)),"—")</f>
        <v>AA</v>
      </c>
      <c r="E32" s="11">
        <f>IF(D11=1,INDEX($E$50:$E$84,4+SUM($D$7:D10)),"")</f>
        <v>170</v>
      </c>
      <c r="F32" s="13" t="s">
        <v>485</v>
      </c>
      <c r="G32" s="13" t="str">
        <f t="shared" si="0"/>
        <v>10101010</v>
      </c>
      <c r="H32" s="13" t="str">
        <f>IF(D11=1,"ADIO5 = "&amp;G32,"➖ Поле отсутствует")</f>
        <v>ADIO5 = 10101010</v>
      </c>
    </row>
    <row r="33" spans="2:8" ht="19.95" customHeight="1" x14ac:dyDescent="0.3">
      <c r="B33" s="10" t="s">
        <v>486</v>
      </c>
      <c r="C33" s="12">
        <f>IF(D12=1,4+SUM($D$7:D11),"—")</f>
        <v>9</v>
      </c>
      <c r="D33" s="12" t="str">
        <f>IF(D12=1,INDEX($D$50:$D$84,4+SUM($D$7:D11)),"—")</f>
        <v>0F</v>
      </c>
      <c r="E33" s="11">
        <f>IF(D12=1,INDEX($E$50:$E$84,4+SUM($D$7:D11)),"")</f>
        <v>15</v>
      </c>
      <c r="F33" s="13" t="s">
        <v>487</v>
      </c>
      <c r="G33" s="13" t="str">
        <f t="shared" si="0"/>
        <v>00001111</v>
      </c>
      <c r="H33" s="13" t="str">
        <f>IF(D12=1,"ADIO6 = "&amp;G33,"➖ Поле отсутствует")</f>
        <v>ADIO6 = 00001111</v>
      </c>
    </row>
    <row r="34" spans="2:8" ht="19.95" customHeight="1" x14ac:dyDescent="0.3">
      <c r="B34" s="10" t="s">
        <v>488</v>
      </c>
      <c r="C34" s="12">
        <f>IF(D13=1,4+SUM($D$7:D12),"—")</f>
        <v>10</v>
      </c>
      <c r="D34" s="12" t="str">
        <f>IF(D13=1,INDEX($D$50:$D$84,4+SUM($D$7:D12)),"—")</f>
        <v>F0</v>
      </c>
      <c r="E34" s="11">
        <f>IF(D13=1,INDEX($E$50:$E$84,4+SUM($D$7:D12)),"")</f>
        <v>240</v>
      </c>
      <c r="F34" s="13" t="s">
        <v>489</v>
      </c>
      <c r="G34" s="13" t="str">
        <f t="shared" si="0"/>
        <v>11110000</v>
      </c>
      <c r="H34" s="13" t="str">
        <f>IF(D13=1,"ADIO7 = "&amp;G34,"➖ Поле отсутствует")</f>
        <v>ADIO7 = 11110000</v>
      </c>
    </row>
    <row r="35" spans="2:8" ht="19.95" customHeight="1" x14ac:dyDescent="0.3">
      <c r="B35" s="10" t="s">
        <v>490</v>
      </c>
      <c r="C35" s="12">
        <f>IF(D14=1,4+SUM($D$7:D13),"—")</f>
        <v>11</v>
      </c>
      <c r="D35" s="12" t="str">
        <f>IF(D14=1,INDEX($D$50:$D$84,4+SUM($D$7:D13)),"—")</f>
        <v>81</v>
      </c>
      <c r="E35" s="11">
        <f>IF(D14=1,INDEX($E$50:$E$84,4+SUM($D$7:D13)),"")</f>
        <v>129</v>
      </c>
      <c r="F35" s="13" t="s">
        <v>491</v>
      </c>
      <c r="G35" s="13" t="str">
        <f t="shared" si="0"/>
        <v>10000001</v>
      </c>
      <c r="H35" s="13" t="str">
        <f>IF(D14=1,"ADIO8 = "&amp;G35,"➖ Поле отсутствует")</f>
        <v>ADIO8 = 10000001</v>
      </c>
    </row>
    <row r="37" spans="2:8" ht="19.95" customHeight="1" x14ac:dyDescent="0.3">
      <c r="B37" s="24" t="s">
        <v>492</v>
      </c>
      <c r="C37" s="26" t="str">
        <f>IF(D19=1,(4+SUM($D$7:$D$14))&amp;"-"&amp;((4+SUM($D$7:$D$14))+2),"—")</f>
        <v>12-14</v>
      </c>
      <c r="D37" s="26" t="str">
        <f>IF(D19=1,INDEX($D$50:$D$84,4+SUM($D$7:$D$14))&amp;" "&amp;INDEX($D$50:$D$84,(4+SUM($D$7:$D$14))+1)&amp;" "&amp;INDEX($D$50:$D$84,(4+SUM($D$7:$D$14))+2),"—")</f>
        <v>23 01 00</v>
      </c>
      <c r="E37" s="25">
        <f>IF(D19=1,INDEX($E$50:$E$84,(4+SUM($D$7:$D$14))+2)*65536+INDEX($E$50:$E$84,(4+SUM($D$7:$D$14))+1)*256+INDEX($E$50:$E$84,4+SUM($D$7:$D$14)),"")</f>
        <v>291</v>
      </c>
      <c r="F37" s="1" t="s">
        <v>493</v>
      </c>
      <c r="G37" s="1"/>
      <c r="H37" s="1" t="str">
        <f>IF(D19=1,"ANS1 = "&amp;E37,"➖ Поле отсутствует")</f>
        <v>ANS1 = 291</v>
      </c>
    </row>
    <row r="38" spans="2:8" ht="19.95" customHeight="1" x14ac:dyDescent="0.3">
      <c r="B38" s="24" t="s">
        <v>494</v>
      </c>
      <c r="C38" s="26" t="str">
        <f>IF(D20=1,(4+SUM($D$7:$D$14)+3*SUM($D$19:D19))&amp;"-"&amp;((4+SUM($D$7:$D$14)+3*SUM($D$19:D19))+2),"—")</f>
        <v>15-17</v>
      </c>
      <c r="D38" s="26" t="str">
        <f>IF(D20=1,INDEX($D$50:$D$84,4+SUM($D$7:$D$14)+3*SUM($D$19:D19))&amp;" "&amp;INDEX($D$50:$D$84,(4+SUM($D$7:$D$14)+3*SUM($D$19:D19))+1)&amp;" "&amp;INDEX($D$50:$D$84,(4+SUM($D$7:$D$14)+3*SUM($D$19:D19))+2),"—")</f>
        <v>56 04 00</v>
      </c>
      <c r="E38" s="25">
        <f>IF(D20=1,INDEX($E$50:$E$84,(4+SUM($D$7:$D$14)+3*SUM($D$19:D19))+2)*65536+INDEX($E$50:$E$84,(4+SUM($D$7:$D$14)+3*SUM($D$19:D19))+1)*256+INDEX($E$50:$E$84,4+SUM($D$7:$D$14)+3*SUM($D$19:D19)),"")</f>
        <v>1110</v>
      </c>
      <c r="F38" s="1" t="s">
        <v>495</v>
      </c>
      <c r="G38" s="1"/>
      <c r="H38" s="1" t="str">
        <f>IF(D20=1,"ANS2 = "&amp;E38,"➖ Поле отсутствует")</f>
        <v>ANS2 = 1110</v>
      </c>
    </row>
    <row r="39" spans="2:8" ht="19.95" customHeight="1" x14ac:dyDescent="0.3">
      <c r="B39" s="24" t="s">
        <v>496</v>
      </c>
      <c r="C39" s="26" t="str">
        <f>IF(D21=1,(4+SUM($D$7:$D$14)+3*SUM($D$19:D20))&amp;"-"&amp;((4+SUM($D$7:$D$14)+3*SUM($D$19:D20))+2),"—")</f>
        <v>18-20</v>
      </c>
      <c r="D39" s="26" t="str">
        <f>IF(D21=1,INDEX($D$50:$D$84,4+SUM($D$7:$D$14)+3*SUM($D$19:D20))&amp;" "&amp;INDEX($D$50:$D$84,(4+SUM($D$7:$D$14)+3*SUM($D$19:D20))+1)&amp;" "&amp;INDEX($D$50:$D$84,(4+SUM($D$7:$D$14)+3*SUM($D$19:D20))+2),"—")</f>
        <v>89 07 00</v>
      </c>
      <c r="E39" s="25">
        <f>IF(D21=1,INDEX($E$50:$E$84,(4+SUM($D$7:$D$14)+3*SUM($D$19:D20))+2)*65536+INDEX($E$50:$E$84,(4+SUM($D$7:$D$14)+3*SUM($D$19:D20))+1)*256+INDEX($E$50:$E$84,4+SUM($D$7:$D$14)+3*SUM($D$19:D20)),"")</f>
        <v>1929</v>
      </c>
      <c r="F39" s="1" t="s">
        <v>497</v>
      </c>
      <c r="G39" s="1"/>
      <c r="H39" s="1" t="str">
        <f>IF(D21=1,"ANS3 = "&amp;E39,"➖ Поле отсутствует")</f>
        <v>ANS3 = 1929</v>
      </c>
    </row>
    <row r="40" spans="2:8" ht="19.95" customHeight="1" x14ac:dyDescent="0.3">
      <c r="B40" s="24" t="s">
        <v>498</v>
      </c>
      <c r="C40" s="26" t="str">
        <f>IF(D22=1,(4+SUM($D$7:$D$14)+3*SUM($D$19:D21))&amp;"-"&amp;((4+SUM($D$7:$D$14)+3*SUM($D$19:D21))+2),"—")</f>
        <v>21-23</v>
      </c>
      <c r="D40" s="26" t="str">
        <f>IF(D22=1,INDEX($D$50:$D$84,4+SUM($D$7:$D$14)+3*SUM($D$19:D21))&amp;" "&amp;INDEX($D$50:$D$84,(4+SUM($D$7:$D$14)+3*SUM($D$19:D21))+1)&amp;" "&amp;INDEX($D$50:$D$84,(4+SUM($D$7:$D$14)+3*SUM($D$19:D21))+2),"—")</f>
        <v>BC 0A 00</v>
      </c>
      <c r="E40" s="25">
        <f>IF(D22=1,INDEX($E$50:$E$84,(4+SUM($D$7:$D$14)+3*SUM($D$19:D21))+2)*65536+INDEX($E$50:$E$84,(4+SUM($D$7:$D$14)+3*SUM($D$19:D21))+1)*256+INDEX($E$50:$E$84,4+SUM($D$7:$D$14)+3*SUM($D$19:D21)),"")</f>
        <v>2748</v>
      </c>
      <c r="F40" s="1" t="s">
        <v>499</v>
      </c>
      <c r="G40" s="1"/>
      <c r="H40" s="1" t="str">
        <f>IF(D22=1,"ANS4 = "&amp;E40,"➖ Поле отсутствует")</f>
        <v>ANS4 = 2748</v>
      </c>
    </row>
    <row r="41" spans="2:8" ht="19.95" customHeight="1" x14ac:dyDescent="0.3">
      <c r="B41" s="24" t="s">
        <v>500</v>
      </c>
      <c r="C41" s="26" t="str">
        <f>IF(D23=1,(4+SUM($D$7:$D$14)+3*SUM($D$19:D22))&amp;"-"&amp;((4+SUM($D$7:$D$14)+3*SUM($D$19:D22))+2),"—")</f>
        <v>24-26</v>
      </c>
      <c r="D41" s="26" t="str">
        <f>IF(D23=1,INDEX($D$50:$D$84,4+SUM($D$7:$D$14)+3*SUM($D$19:D22))&amp;" "&amp;INDEX($D$50:$D$84,(4+SUM($D$7:$D$14)+3*SUM($D$19:D22))+1)&amp;" "&amp;INDEX($D$50:$D$84,(4+SUM($D$7:$D$14)+3*SUM($D$19:D22))+2),"—")</f>
        <v>EF 0D 00</v>
      </c>
      <c r="E41" s="25">
        <f>IF(D23=1,INDEX($E$50:$E$84,(4+SUM($D$7:$D$14)+3*SUM($D$19:D22))+2)*65536+INDEX($E$50:$E$84,(4+SUM($D$7:$D$14)+3*SUM($D$19:D22))+1)*256+INDEX($E$50:$E$84,4+SUM($D$7:$D$14)+3*SUM($D$19:D22)),"")</f>
        <v>3567</v>
      </c>
      <c r="F41" s="1" t="s">
        <v>501</v>
      </c>
      <c r="G41" s="1"/>
      <c r="H41" s="1" t="str">
        <f>IF(D23=1,"ANS5 = "&amp;E41,"➖ Поле отсутствует")</f>
        <v>ANS5 = 3567</v>
      </c>
    </row>
    <row r="42" spans="2:8" ht="19.95" customHeight="1" x14ac:dyDescent="0.3">
      <c r="B42" s="24" t="s">
        <v>502</v>
      </c>
      <c r="C42" s="26" t="str">
        <f>IF(D24=1,(4+SUM($D$7:$D$14)+3*SUM($D$19:D23))&amp;"-"&amp;((4+SUM($D$7:$D$14)+3*SUM($D$19:D23))+2),"—")</f>
        <v>27-29</v>
      </c>
      <c r="D42" s="26" t="str">
        <f>IF(D24=1,INDEX($D$50:$D$84,4+SUM($D$7:$D$14)+3*SUM($D$19:D23))&amp;" "&amp;INDEX($D$50:$D$84,(4+SUM($D$7:$D$14)+3*SUM($D$19:D23))+1)&amp;" "&amp;INDEX($D$50:$D$84,(4+SUM($D$7:$D$14)+3*SUM($D$19:D23))+2),"—")</f>
        <v>34 12 00</v>
      </c>
      <c r="E42" s="25">
        <f>IF(D24=1,INDEX($E$50:$E$84,(4+SUM($D$7:$D$14)+3*SUM($D$19:D23))+2)*65536+INDEX($E$50:$E$84,(4+SUM($D$7:$D$14)+3*SUM($D$19:D23))+1)*256+INDEX($E$50:$E$84,4+SUM($D$7:$D$14)+3*SUM($D$19:D23)),"")</f>
        <v>4660</v>
      </c>
      <c r="F42" s="1" t="s">
        <v>503</v>
      </c>
      <c r="G42" s="1"/>
      <c r="H42" s="1" t="str">
        <f>IF(D24=1,"ANS6 = "&amp;E42,"➖ Поле отсутствует")</f>
        <v>ANS6 = 4660</v>
      </c>
    </row>
    <row r="43" spans="2:8" ht="19.95" customHeight="1" x14ac:dyDescent="0.3">
      <c r="B43" s="24" t="s">
        <v>504</v>
      </c>
      <c r="C43" s="26" t="str">
        <f>IF(D25=1,(4+SUM($D$7:$D$14)+3*SUM($D$19:D24))&amp;"-"&amp;((4+SUM($D$7:$D$14)+3*SUM($D$19:D24))+2),"—")</f>
        <v>30-32</v>
      </c>
      <c r="D43" s="26" t="str">
        <f>IF(D25=1,INDEX($D$50:$D$84,4+SUM($D$7:$D$14)+3*SUM($D$19:D24))&amp;" "&amp;INDEX($D$50:$D$84,(4+SUM($D$7:$D$14)+3*SUM($D$19:D24))+1)&amp;" "&amp;INDEX($D$50:$D$84,(4+SUM($D$7:$D$14)+3*SUM($D$19:D24))+2),"—")</f>
        <v>78 56 00</v>
      </c>
      <c r="E43" s="25">
        <f>IF(D25=1,INDEX($E$50:$E$84,(4+SUM($D$7:$D$14)+3*SUM($D$19:D24))+2)*65536+INDEX($E$50:$E$84,(4+SUM($D$7:$D$14)+3*SUM($D$19:D24))+1)*256+INDEX($E$50:$E$84,4+SUM($D$7:$D$14)+3*SUM($D$19:D24)),"")</f>
        <v>22136</v>
      </c>
      <c r="F43" s="1" t="s">
        <v>505</v>
      </c>
      <c r="G43" s="1"/>
      <c r="H43" s="1" t="str">
        <f>IF(D25=1,"ANS7 = "&amp;E43,"➖ Поле отсутствует")</f>
        <v>ANS7 = 22136</v>
      </c>
    </row>
    <row r="44" spans="2:8" ht="19.95" customHeight="1" x14ac:dyDescent="0.3">
      <c r="B44" s="24" t="s">
        <v>506</v>
      </c>
      <c r="C44" s="26" t="str">
        <f>IF(D26=1,(4+SUM($D$7:$D$14)+3*SUM($D$19:D25))&amp;"-"&amp;((4+SUM($D$7:$D$14)+3*SUM($D$19:D25))+2),"—")</f>
        <v>33-35</v>
      </c>
      <c r="D44" s="26" t="str">
        <f>IF(D26=1,INDEX($D$50:$D$84,4+SUM($D$7:$D$14)+3*SUM($D$19:D25))&amp;" "&amp;INDEX($D$50:$D$84,(4+SUM($D$7:$D$14)+3*SUM($D$19:D25))+1)&amp;" "&amp;INDEX($D$50:$D$84,(4+SUM($D$7:$D$14)+3*SUM($D$19:D25))+2),"—")</f>
        <v>CD AB 09</v>
      </c>
      <c r="E44" s="25">
        <f>IF(D26=1,INDEX($E$50:$E$84,(4+SUM($D$7:$D$14)+3*SUM($D$19:D25))+2)*65536+INDEX($E$50:$E$84,(4+SUM($D$7:$D$14)+3*SUM($D$19:D25))+1)*256+INDEX($E$50:$E$84,4+SUM($D$7:$D$14)+3*SUM($D$19:D25)),"")</f>
        <v>633805</v>
      </c>
      <c r="F44" s="1" t="s">
        <v>507</v>
      </c>
      <c r="G44" s="1"/>
      <c r="H44" s="1" t="str">
        <f>IF(D26=1,"ANS8 = "&amp;E44,"➖ Поле отсутствует")</f>
        <v>ANS8 = 633805</v>
      </c>
    </row>
    <row r="49" spans="2:8" ht="15" customHeight="1" x14ac:dyDescent="0.3">
      <c r="B49" s="59" t="s">
        <v>416</v>
      </c>
      <c r="C49" s="53"/>
      <c r="D49" s="53"/>
      <c r="E49" s="53"/>
      <c r="F49" s="53"/>
      <c r="G49" s="53"/>
      <c r="H49" s="54"/>
    </row>
    <row r="50" spans="2:8" ht="18" customHeight="1" x14ac:dyDescent="0.3">
      <c r="B50" s="23" t="s">
        <v>77</v>
      </c>
      <c r="C50" s="16" t="s">
        <v>383</v>
      </c>
      <c r="D50" s="16" t="str">
        <f>IFERROR(UPPER(TRIM(MID(SUBSTITUTE(B3," ",REPT(" ",10)),((1)-1)*12+1,10))),"")</f>
        <v>FF</v>
      </c>
      <c r="E50" s="15">
        <f t="shared" ref="E50:E84" si="1">IFERROR(HEX2DEC(D50),"")</f>
        <v>255</v>
      </c>
      <c r="F50" s="2"/>
      <c r="G50" s="2"/>
      <c r="H50" s="2"/>
    </row>
    <row r="51" spans="2:8" ht="18" customHeight="1" x14ac:dyDescent="0.3">
      <c r="B51" s="23" t="s">
        <v>78</v>
      </c>
      <c r="C51" s="16" t="s">
        <v>384</v>
      </c>
      <c r="D51" s="16" t="str">
        <f>IFERROR(UPPER(TRIM(MID(SUBSTITUTE(B3," ",REPT(" ",10)),((2)-1)*12+1,10))),"")</f>
        <v>5A</v>
      </c>
      <c r="E51" s="15">
        <f t="shared" si="1"/>
        <v>90</v>
      </c>
      <c r="F51" s="2"/>
      <c r="G51" s="2"/>
      <c r="H51" s="2"/>
    </row>
    <row r="52" spans="2:8" ht="18" customHeight="1" x14ac:dyDescent="0.3">
      <c r="B52" s="23" t="s">
        <v>79</v>
      </c>
      <c r="C52" s="16" t="s">
        <v>385</v>
      </c>
      <c r="D52" s="16" t="str">
        <f>IFERROR(UPPER(TRIM(MID(SUBSTITUTE(B3," ",REPT(" ",10)),((3)-1)*12+1,10))),"")</f>
        <v>FF</v>
      </c>
      <c r="E52" s="15">
        <f t="shared" si="1"/>
        <v>255</v>
      </c>
      <c r="F52" s="2"/>
      <c r="G52" s="2"/>
      <c r="H52" s="2"/>
    </row>
    <row r="53" spans="2:8" ht="18" customHeight="1" x14ac:dyDescent="0.3">
      <c r="B53" s="23" t="s">
        <v>80</v>
      </c>
      <c r="C53" s="16" t="s">
        <v>386</v>
      </c>
      <c r="D53" s="16" t="str">
        <f>IFERROR(UPPER(TRIM(MID(SUBSTITUTE(B3," ",REPT(" ",10)),((4)-1)*12+1,10))),"")</f>
        <v>01</v>
      </c>
      <c r="E53" s="15">
        <f t="shared" si="1"/>
        <v>1</v>
      </c>
      <c r="F53" s="2"/>
      <c r="G53" s="2"/>
      <c r="H53" s="2"/>
    </row>
    <row r="54" spans="2:8" ht="18" customHeight="1" x14ac:dyDescent="0.3">
      <c r="B54" s="23" t="s">
        <v>81</v>
      </c>
      <c r="C54" s="16" t="s">
        <v>234</v>
      </c>
      <c r="D54" s="16" t="str">
        <f>IFERROR(UPPER(TRIM(MID(SUBSTITUTE(B3," ",REPT(" ",10)),((5)-1)*12+1,10))),"")</f>
        <v>00</v>
      </c>
      <c r="E54" s="15">
        <f t="shared" si="1"/>
        <v>0</v>
      </c>
      <c r="F54" s="2"/>
      <c r="G54" s="2"/>
      <c r="H54" s="2"/>
    </row>
    <row r="55" spans="2:8" ht="18" customHeight="1" x14ac:dyDescent="0.3">
      <c r="B55" s="23" t="s">
        <v>82</v>
      </c>
      <c r="C55" s="16" t="s">
        <v>387</v>
      </c>
      <c r="D55" s="16" t="str">
        <f>IFERROR(UPPER(TRIM(MID(SUBSTITUTE(B3," ",REPT(" ",10)),((6)-1)*12+1,10))),"")</f>
        <v>FF</v>
      </c>
      <c r="E55" s="15">
        <f t="shared" si="1"/>
        <v>255</v>
      </c>
      <c r="F55" s="2"/>
      <c r="G55" s="2"/>
      <c r="H55" s="2"/>
    </row>
    <row r="56" spans="2:8" ht="18" customHeight="1" x14ac:dyDescent="0.3">
      <c r="B56" s="23" t="s">
        <v>83</v>
      </c>
      <c r="C56" s="16" t="s">
        <v>388</v>
      </c>
      <c r="D56" s="16" t="str">
        <f>IFERROR(UPPER(TRIM(MID(SUBSTITUTE(B3," ",REPT(" ",10)),((7)-1)*12+1,10))),"")</f>
        <v>55</v>
      </c>
      <c r="E56" s="15">
        <f t="shared" si="1"/>
        <v>85</v>
      </c>
      <c r="F56" s="2"/>
      <c r="G56" s="2"/>
      <c r="H56" s="2"/>
    </row>
    <row r="57" spans="2:8" ht="18" customHeight="1" x14ac:dyDescent="0.3">
      <c r="B57" s="23" t="s">
        <v>84</v>
      </c>
      <c r="C57" s="16" t="s">
        <v>389</v>
      </c>
      <c r="D57" s="16" t="str">
        <f>IFERROR(UPPER(TRIM(MID(SUBSTITUTE(B3," ",REPT(" ",10)),((8)-1)*12+1,10))),"")</f>
        <v>AA</v>
      </c>
      <c r="E57" s="15">
        <f t="shared" si="1"/>
        <v>170</v>
      </c>
      <c r="F57" s="2"/>
      <c r="G57" s="2"/>
      <c r="H57" s="2"/>
    </row>
    <row r="58" spans="2:8" ht="18" customHeight="1" x14ac:dyDescent="0.3">
      <c r="B58" s="23" t="s">
        <v>85</v>
      </c>
      <c r="C58" s="16" t="s">
        <v>390</v>
      </c>
      <c r="D58" s="16" t="str">
        <f>IFERROR(UPPER(TRIM(MID(SUBSTITUTE(B3," ",REPT(" ",10)),((9)-1)*12+1,10))),"")</f>
        <v>0F</v>
      </c>
      <c r="E58" s="15">
        <f t="shared" si="1"/>
        <v>15</v>
      </c>
      <c r="F58" s="2"/>
      <c r="G58" s="2"/>
      <c r="H58" s="2"/>
    </row>
    <row r="59" spans="2:8" ht="18" customHeight="1" x14ac:dyDescent="0.3">
      <c r="B59" s="23" t="s">
        <v>86</v>
      </c>
      <c r="C59" s="16" t="s">
        <v>41</v>
      </c>
      <c r="D59" s="16" t="str">
        <f>IFERROR(UPPER(TRIM(MID(SUBSTITUTE(B3," ",REPT(" ",10)),((10)-1)*12+1,10))),"")</f>
        <v>F0</v>
      </c>
      <c r="E59" s="15">
        <f t="shared" si="1"/>
        <v>240</v>
      </c>
      <c r="F59" s="2"/>
      <c r="G59" s="2"/>
      <c r="H59" s="2"/>
    </row>
    <row r="60" spans="2:8" ht="18" customHeight="1" x14ac:dyDescent="0.3">
      <c r="B60" s="23" t="s">
        <v>87</v>
      </c>
      <c r="C60" s="16" t="s">
        <v>391</v>
      </c>
      <c r="D60" s="16" t="str">
        <f>IFERROR(UPPER(TRIM(MID(SUBSTITUTE(B3," ",REPT(" ",10)),((11)-1)*12+1,10))),"")</f>
        <v>81</v>
      </c>
      <c r="E60" s="15">
        <f t="shared" si="1"/>
        <v>129</v>
      </c>
      <c r="F60" s="2"/>
      <c r="G60" s="2"/>
      <c r="H60" s="2"/>
    </row>
    <row r="61" spans="2:8" ht="18" customHeight="1" x14ac:dyDescent="0.3">
      <c r="B61" s="23" t="s">
        <v>88</v>
      </c>
      <c r="C61" s="16" t="s">
        <v>392</v>
      </c>
      <c r="D61" s="16" t="str">
        <f>IFERROR(UPPER(TRIM(MID(SUBSTITUTE(B3," ",REPT(" ",10)),((12)-1)*12+1,10))),"")</f>
        <v>23</v>
      </c>
      <c r="E61" s="15">
        <f t="shared" si="1"/>
        <v>35</v>
      </c>
      <c r="F61" s="2"/>
      <c r="G61" s="2"/>
      <c r="H61" s="2"/>
    </row>
    <row r="62" spans="2:8" ht="18" customHeight="1" x14ac:dyDescent="0.3">
      <c r="B62" s="23" t="s">
        <v>89</v>
      </c>
      <c r="C62" s="16" t="s">
        <v>191</v>
      </c>
      <c r="D62" s="16" t="str">
        <f>IFERROR(UPPER(TRIM(MID(SUBSTITUTE(B3," ",REPT(" ",10)),((13)-1)*12+1,10))),"")</f>
        <v>01</v>
      </c>
      <c r="E62" s="15">
        <f t="shared" si="1"/>
        <v>1</v>
      </c>
      <c r="F62" s="2"/>
      <c r="G62" s="2"/>
      <c r="H62" s="2"/>
    </row>
    <row r="63" spans="2:8" ht="18" customHeight="1" x14ac:dyDescent="0.3">
      <c r="B63" s="23" t="s">
        <v>90</v>
      </c>
      <c r="C63" s="16" t="s">
        <v>508</v>
      </c>
      <c r="D63" s="16" t="str">
        <f>IFERROR(UPPER(TRIM(MID(SUBSTITUTE(B3," ",REPT(" ",10)),((14)-1)*12+1,10))),"")</f>
        <v>00</v>
      </c>
      <c r="E63" s="15">
        <f t="shared" si="1"/>
        <v>0</v>
      </c>
      <c r="F63" s="2"/>
      <c r="G63" s="2"/>
      <c r="H63" s="2"/>
    </row>
    <row r="64" spans="2:8" ht="18" customHeight="1" x14ac:dyDescent="0.3">
      <c r="B64" s="23" t="s">
        <v>91</v>
      </c>
      <c r="C64" s="16" t="s">
        <v>47</v>
      </c>
      <c r="D64" s="16" t="str">
        <f>IFERROR(UPPER(TRIM(MID(SUBSTITUTE(B3," ",REPT(" ",10)),((15)-1)*12+1,10))),"")</f>
        <v>56</v>
      </c>
      <c r="E64" s="15">
        <f t="shared" si="1"/>
        <v>86</v>
      </c>
      <c r="F64" s="2"/>
      <c r="G64" s="2"/>
      <c r="H64" s="2"/>
    </row>
    <row r="65" spans="2:8" ht="18" customHeight="1" x14ac:dyDescent="0.3">
      <c r="B65" s="23" t="s">
        <v>92</v>
      </c>
      <c r="C65" s="16" t="s">
        <v>218</v>
      </c>
      <c r="D65" s="16" t="str">
        <f>IFERROR(UPPER(TRIM(MID(SUBSTITUTE(B3," ",REPT(" ",10)),((16)-1)*12+1,10))),"")</f>
        <v>04</v>
      </c>
      <c r="E65" s="15">
        <f t="shared" si="1"/>
        <v>4</v>
      </c>
      <c r="F65" s="2"/>
      <c r="G65" s="2"/>
      <c r="H65" s="2"/>
    </row>
    <row r="66" spans="2:8" ht="18" customHeight="1" x14ac:dyDescent="0.3">
      <c r="B66" s="23" t="s">
        <v>93</v>
      </c>
      <c r="C66" s="16" t="s">
        <v>509</v>
      </c>
      <c r="D66" s="16" t="str">
        <f>IFERROR(UPPER(TRIM(MID(SUBSTITUTE(B3," ",REPT(" ",10)),((17)-1)*12+1,10))),"")</f>
        <v>00</v>
      </c>
      <c r="E66" s="15">
        <f t="shared" si="1"/>
        <v>0</v>
      </c>
      <c r="F66" s="2"/>
      <c r="G66" s="2"/>
      <c r="H66" s="2"/>
    </row>
    <row r="67" spans="2:8" ht="18" customHeight="1" x14ac:dyDescent="0.3">
      <c r="B67" s="23" t="s">
        <v>94</v>
      </c>
      <c r="C67" s="16" t="s">
        <v>510</v>
      </c>
      <c r="D67" s="16" t="str">
        <f>IFERROR(UPPER(TRIM(MID(SUBSTITUTE(B3," ",REPT(" ",10)),((18)-1)*12+1,10))),"")</f>
        <v>89</v>
      </c>
      <c r="E67" s="15">
        <f t="shared" si="1"/>
        <v>137</v>
      </c>
      <c r="F67" s="2"/>
      <c r="G67" s="2"/>
      <c r="H67" s="2"/>
    </row>
    <row r="68" spans="2:8" ht="18" customHeight="1" x14ac:dyDescent="0.3">
      <c r="B68" s="23" t="s">
        <v>95</v>
      </c>
      <c r="C68" s="16" t="s">
        <v>511</v>
      </c>
      <c r="D68" s="16" t="str">
        <f>IFERROR(UPPER(TRIM(MID(SUBSTITUTE(B3," ",REPT(" ",10)),((19)-1)*12+1,10))),"")</f>
        <v>07</v>
      </c>
      <c r="E68" s="15">
        <f t="shared" si="1"/>
        <v>7</v>
      </c>
      <c r="F68" s="2"/>
      <c r="G68" s="2"/>
      <c r="H68" s="2"/>
    </row>
    <row r="69" spans="2:8" ht="18" customHeight="1" x14ac:dyDescent="0.3">
      <c r="B69" s="23" t="s">
        <v>96</v>
      </c>
      <c r="C69" s="16" t="s">
        <v>224</v>
      </c>
      <c r="D69" s="16" t="str">
        <f>IFERROR(UPPER(TRIM(MID(SUBSTITUTE(B3," ",REPT(" ",10)),((20)-1)*12+1,10))),"")</f>
        <v>00</v>
      </c>
      <c r="E69" s="15">
        <f t="shared" si="1"/>
        <v>0</v>
      </c>
      <c r="F69" s="2"/>
      <c r="G69" s="2"/>
      <c r="H69" s="2"/>
    </row>
    <row r="70" spans="2:8" ht="18" customHeight="1" x14ac:dyDescent="0.3">
      <c r="B70" s="23" t="s">
        <v>97</v>
      </c>
      <c r="C70" s="16" t="s">
        <v>227</v>
      </c>
      <c r="D70" s="16" t="str">
        <f>IFERROR(UPPER(TRIM(MID(SUBSTITUTE(B3," ",REPT(" ",10)),((21)-1)*12+1,10))),"")</f>
        <v>BC</v>
      </c>
      <c r="E70" s="15">
        <f t="shared" si="1"/>
        <v>188</v>
      </c>
      <c r="F70" s="2"/>
      <c r="G70" s="2"/>
      <c r="H70" s="2"/>
    </row>
    <row r="71" spans="2:8" ht="18" customHeight="1" x14ac:dyDescent="0.3">
      <c r="B71" s="23" t="s">
        <v>98</v>
      </c>
      <c r="C71" s="16" t="s">
        <v>512</v>
      </c>
      <c r="D71" s="16" t="str">
        <f>IFERROR(UPPER(TRIM(MID(SUBSTITUTE(B3," ",REPT(" ",10)),((22)-1)*12+1,10))),"")</f>
        <v>0A</v>
      </c>
      <c r="E71" s="15">
        <f t="shared" si="1"/>
        <v>10</v>
      </c>
      <c r="F71" s="2"/>
      <c r="G71" s="2"/>
      <c r="H71" s="2"/>
    </row>
    <row r="72" spans="2:8" ht="18" customHeight="1" x14ac:dyDescent="0.3">
      <c r="B72" s="23" t="s">
        <v>99</v>
      </c>
      <c r="C72" s="16" t="s">
        <v>513</v>
      </c>
      <c r="D72" s="16" t="str">
        <f>IFERROR(UPPER(TRIM(MID(SUBSTITUTE(B3," ",REPT(" ",10)),((23)-1)*12+1,10))),"")</f>
        <v>00</v>
      </c>
      <c r="E72" s="15">
        <f t="shared" si="1"/>
        <v>0</v>
      </c>
      <c r="F72" s="2"/>
      <c r="G72" s="2"/>
      <c r="H72" s="2"/>
    </row>
    <row r="73" spans="2:8" ht="18" customHeight="1" x14ac:dyDescent="0.3">
      <c r="B73" s="23" t="s">
        <v>100</v>
      </c>
      <c r="C73" s="16" t="s">
        <v>514</v>
      </c>
      <c r="D73" s="16" t="str">
        <f>IFERROR(UPPER(TRIM(MID(SUBSTITUTE(B3," ",REPT(" ",10)),((24)-1)*12+1,10))),"")</f>
        <v>EF</v>
      </c>
      <c r="E73" s="15">
        <f t="shared" si="1"/>
        <v>239</v>
      </c>
      <c r="F73" s="2"/>
      <c r="G73" s="2"/>
      <c r="H73" s="2"/>
    </row>
    <row r="74" spans="2:8" ht="18" customHeight="1" x14ac:dyDescent="0.3">
      <c r="B74" s="23" t="s">
        <v>101</v>
      </c>
      <c r="C74" s="16" t="s">
        <v>515</v>
      </c>
      <c r="D74" s="16" t="str">
        <f>IFERROR(UPPER(TRIM(MID(SUBSTITUTE(B3," ",REPT(" ",10)),((25)-1)*12+1,10))),"")</f>
        <v>0D</v>
      </c>
      <c r="E74" s="15">
        <f t="shared" si="1"/>
        <v>13</v>
      </c>
      <c r="F74" s="2"/>
      <c r="G74" s="2"/>
      <c r="H74" s="2"/>
    </row>
    <row r="75" spans="2:8" ht="18" customHeight="1" x14ac:dyDescent="0.3">
      <c r="B75" s="23" t="s">
        <v>102</v>
      </c>
      <c r="C75" s="16" t="s">
        <v>516</v>
      </c>
      <c r="D75" s="16" t="str">
        <f>IFERROR(UPPER(TRIM(MID(SUBSTITUTE(B3," ",REPT(" ",10)),((26)-1)*12+1,10))),"")</f>
        <v>00</v>
      </c>
      <c r="E75" s="15">
        <f t="shared" si="1"/>
        <v>0</v>
      </c>
      <c r="F75" s="2"/>
      <c r="G75" s="2"/>
      <c r="H75" s="2"/>
    </row>
    <row r="76" spans="2:8" ht="18" customHeight="1" x14ac:dyDescent="0.3">
      <c r="B76" s="23" t="s">
        <v>103</v>
      </c>
      <c r="C76" s="16" t="s">
        <v>517</v>
      </c>
      <c r="D76" s="16" t="str">
        <f>IFERROR(UPPER(TRIM(MID(SUBSTITUTE(B3," ",REPT(" ",10)),((27)-1)*12+1,10))),"")</f>
        <v>34</v>
      </c>
      <c r="E76" s="15">
        <f t="shared" si="1"/>
        <v>52</v>
      </c>
      <c r="F76" s="2"/>
      <c r="G76" s="2"/>
      <c r="H76" s="2"/>
    </row>
    <row r="77" spans="2:8" ht="18" customHeight="1" x14ac:dyDescent="0.3">
      <c r="B77" s="23" t="s">
        <v>104</v>
      </c>
      <c r="C77" s="16" t="s">
        <v>518</v>
      </c>
      <c r="D77" s="16" t="str">
        <f>IFERROR(UPPER(TRIM(MID(SUBSTITUTE(B3," ",REPT(" ",10)),((28)-1)*12+1,10))),"")</f>
        <v>12</v>
      </c>
      <c r="E77" s="15">
        <f t="shared" si="1"/>
        <v>18</v>
      </c>
      <c r="F77" s="2"/>
      <c r="G77" s="2"/>
      <c r="H77" s="2"/>
    </row>
    <row r="78" spans="2:8" ht="18" customHeight="1" x14ac:dyDescent="0.3">
      <c r="B78" s="23" t="s">
        <v>105</v>
      </c>
      <c r="C78" s="16" t="s">
        <v>519</v>
      </c>
      <c r="D78" s="16" t="str">
        <f>IFERROR(UPPER(TRIM(MID(SUBSTITUTE(B3," ",REPT(" ",10)),((29)-1)*12+1,10))),"")</f>
        <v>00</v>
      </c>
      <c r="E78" s="15">
        <f t="shared" si="1"/>
        <v>0</v>
      </c>
      <c r="F78" s="2"/>
      <c r="G78" s="2"/>
      <c r="H78" s="2"/>
    </row>
    <row r="79" spans="2:8" ht="18" customHeight="1" x14ac:dyDescent="0.3">
      <c r="B79" s="23" t="s">
        <v>106</v>
      </c>
      <c r="C79" s="16" t="s">
        <v>520</v>
      </c>
      <c r="D79" s="16" t="str">
        <f>IFERROR(UPPER(TRIM(MID(SUBSTITUTE(B3," ",REPT(" ",10)),((30)-1)*12+1,10))),"")</f>
        <v>78</v>
      </c>
      <c r="E79" s="15">
        <f t="shared" si="1"/>
        <v>120</v>
      </c>
      <c r="F79" s="2"/>
      <c r="G79" s="2"/>
      <c r="H79" s="2"/>
    </row>
    <row r="80" spans="2:8" ht="18" customHeight="1" x14ac:dyDescent="0.3">
      <c r="B80" s="23" t="s">
        <v>107</v>
      </c>
      <c r="C80" s="16" t="s">
        <v>521</v>
      </c>
      <c r="D80" s="16" t="str">
        <f>IFERROR(UPPER(TRIM(MID(SUBSTITUTE(B3," ",REPT(" ",10)),((31)-1)*12+1,10))),"")</f>
        <v>56</v>
      </c>
      <c r="E80" s="15">
        <f t="shared" si="1"/>
        <v>86</v>
      </c>
      <c r="F80" s="2"/>
      <c r="G80" s="2"/>
      <c r="H80" s="2"/>
    </row>
    <row r="81" spans="2:8" ht="18" customHeight="1" x14ac:dyDescent="0.3">
      <c r="B81" s="23" t="s">
        <v>108</v>
      </c>
      <c r="C81" s="16" t="s">
        <v>522</v>
      </c>
      <c r="D81" s="16" t="str">
        <f>IFERROR(UPPER(TRIM(MID(SUBSTITUTE(B3," ",REPT(" ",10)),((32)-1)*12+1,10))),"")</f>
        <v>00</v>
      </c>
      <c r="E81" s="15">
        <f t="shared" si="1"/>
        <v>0</v>
      </c>
      <c r="F81" s="2"/>
      <c r="G81" s="2"/>
      <c r="H81" s="2"/>
    </row>
    <row r="82" spans="2:8" ht="18" customHeight="1" x14ac:dyDescent="0.3">
      <c r="B82" s="23" t="s">
        <v>109</v>
      </c>
      <c r="C82" s="16" t="s">
        <v>523</v>
      </c>
      <c r="D82" s="16" t="str">
        <f>IFERROR(UPPER(TRIM(MID(SUBSTITUTE(B3," ",REPT(" ",10)),((33)-1)*12+1,10))),"")</f>
        <v>CD</v>
      </c>
      <c r="E82" s="15">
        <f t="shared" si="1"/>
        <v>205</v>
      </c>
      <c r="F82" s="2"/>
      <c r="G82" s="2"/>
      <c r="H82" s="2"/>
    </row>
    <row r="83" spans="2:8" ht="18" customHeight="1" x14ac:dyDescent="0.3">
      <c r="B83" s="23" t="s">
        <v>110</v>
      </c>
      <c r="C83" s="16" t="s">
        <v>524</v>
      </c>
      <c r="D83" s="16" t="str">
        <f>IFERROR(UPPER(TRIM(MID(SUBSTITUTE(B3," ",REPT(" ",10)),((34)-1)*12+1,10))),"")</f>
        <v>AB</v>
      </c>
      <c r="E83" s="15">
        <f t="shared" si="1"/>
        <v>171</v>
      </c>
      <c r="F83" s="2"/>
      <c r="G83" s="2"/>
      <c r="H83" s="2"/>
    </row>
    <row r="84" spans="2:8" ht="18" customHeight="1" x14ac:dyDescent="0.3">
      <c r="B84" s="23" t="s">
        <v>111</v>
      </c>
      <c r="C84" s="16" t="s">
        <v>525</v>
      </c>
      <c r="D84" s="16" t="str">
        <f>IFERROR(UPPER(TRIM(MID(SUBSTITUTE(B3," ",REPT(" ",10)),((35)-1)*12+1,10))),"")</f>
        <v>09</v>
      </c>
      <c r="E84" s="15">
        <f t="shared" si="1"/>
        <v>9</v>
      </c>
      <c r="F84" s="2"/>
      <c r="G84" s="2"/>
      <c r="H84" s="2"/>
    </row>
  </sheetData>
  <mergeCells count="5">
    <mergeCell ref="A1:H1"/>
    <mergeCell ref="B2:H2"/>
    <mergeCell ref="B3:H3"/>
    <mergeCell ref="B4:H4"/>
    <mergeCell ref="B49:H4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8214-9BA5-4DF4-B07B-5C1D53C12A58}">
  <sheetPr>
    <tabColor rgb="FF4472C4"/>
  </sheetPr>
  <dimension ref="A1:H65"/>
  <sheetViews>
    <sheetView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D6" sqref="D6"/>
    </sheetView>
  </sheetViews>
  <sheetFormatPr defaultColWidth="8.6640625" defaultRowHeight="14.4" x14ac:dyDescent="0.3"/>
  <cols>
    <col min="1" max="1" width="3" customWidth="1"/>
    <col min="2" max="2" width="26" customWidth="1"/>
    <col min="3" max="3" width="11" customWidth="1"/>
    <col min="4" max="4" width="19.44140625" customWidth="1"/>
    <col min="5" max="5" width="17.33203125" customWidth="1"/>
    <col min="6" max="6" width="85" customWidth="1"/>
    <col min="7" max="7" width="25" customWidth="1"/>
    <col min="8" max="8" width="36" customWidth="1"/>
  </cols>
  <sheetData>
    <row r="1" spans="1:8" ht="34.5" customHeight="1" x14ac:dyDescent="0.3">
      <c r="A1" s="52" t="s">
        <v>526</v>
      </c>
      <c r="B1" s="53"/>
      <c r="C1" s="53"/>
      <c r="D1" s="53"/>
      <c r="E1" s="53"/>
      <c r="F1" s="53"/>
      <c r="G1" s="53"/>
      <c r="H1" s="54"/>
    </row>
    <row r="2" spans="1:8" ht="21.75" customHeight="1" x14ac:dyDescent="0.3">
      <c r="B2" s="61" t="s">
        <v>527</v>
      </c>
      <c r="C2" s="53"/>
      <c r="D2" s="53"/>
      <c r="E2" s="53"/>
      <c r="F2" s="53"/>
      <c r="G2" s="53"/>
      <c r="H2" s="54"/>
    </row>
    <row r="3" spans="1:8" ht="27.75" customHeight="1" x14ac:dyDescent="0.3">
      <c r="B3" s="55" t="s">
        <v>528</v>
      </c>
      <c r="C3" s="56"/>
      <c r="D3" s="56"/>
      <c r="E3" s="56"/>
      <c r="F3" s="56"/>
      <c r="G3" s="56"/>
      <c r="H3" s="57"/>
    </row>
    <row r="4" spans="1:8" ht="19.5" customHeight="1" x14ac:dyDescent="0.3">
      <c r="B4" s="66" t="str">
        <f>IFERROR("📊 Всего байт: "&amp;LEN(TRIM(B3))-LEN(SUBSTITUTE(TRIM(B3)," ",""))+1,"")</f>
        <v>📊 Всего байт: 25</v>
      </c>
      <c r="C4" s="53"/>
      <c r="D4" s="53"/>
      <c r="E4" s="53"/>
      <c r="F4" s="53"/>
      <c r="G4" s="53"/>
      <c r="H4" s="54"/>
    </row>
    <row r="5" spans="1:8" ht="24.75" customHeight="1" x14ac:dyDescent="0.3">
      <c r="B5" s="9" t="s">
        <v>177</v>
      </c>
      <c r="C5" s="9" t="s">
        <v>178</v>
      </c>
      <c r="D5" s="9" t="s">
        <v>4</v>
      </c>
      <c r="E5" s="9" t="s">
        <v>5</v>
      </c>
      <c r="F5" s="9" t="s">
        <v>7</v>
      </c>
      <c r="G5" s="9" t="s">
        <v>354</v>
      </c>
      <c r="H5" s="9" t="s">
        <v>231</v>
      </c>
    </row>
    <row r="6" spans="1:8" ht="21.75" customHeight="1" x14ac:dyDescent="0.3">
      <c r="B6" s="24" t="s">
        <v>529</v>
      </c>
      <c r="C6" s="26" t="s">
        <v>383</v>
      </c>
      <c r="D6" s="26" t="str">
        <f>$D$41</f>
        <v>FF</v>
      </c>
      <c r="E6" s="25">
        <f>$E$41</f>
        <v>255</v>
      </c>
      <c r="F6" s="1" t="s">
        <v>530</v>
      </c>
      <c r="G6" s="1" t="str">
        <f>IFERROR(DEC2BIN(E6,8),"")</f>
        <v>11111111</v>
      </c>
      <c r="H6" s="1" t="str">
        <f>"Счётные входы"</f>
        <v>Счётные входы</v>
      </c>
    </row>
    <row r="7" spans="1:8" ht="18" customHeight="1" x14ac:dyDescent="0.3">
      <c r="B7" s="21" t="s">
        <v>531</v>
      </c>
      <c r="C7" s="22" t="s">
        <v>383</v>
      </c>
      <c r="D7" s="22">
        <f>IFERROR(INT(MOD($E$41/1,2)),"")</f>
        <v>1</v>
      </c>
      <c r="E7" s="36"/>
      <c r="F7" s="21" t="s">
        <v>532</v>
      </c>
      <c r="G7" s="21"/>
      <c r="H7" s="21" t="str">
        <f>IF(D7=1,"CN1 присутствует","CN1 отсутствует")</f>
        <v>CN1 присутствует</v>
      </c>
    </row>
    <row r="8" spans="1:8" ht="18" customHeight="1" x14ac:dyDescent="0.3">
      <c r="B8" s="21" t="s">
        <v>533</v>
      </c>
      <c r="C8" s="22" t="s">
        <v>383</v>
      </c>
      <c r="D8" s="22">
        <f>IFERROR(INT(MOD($E$41/2,2)),"")</f>
        <v>1</v>
      </c>
      <c r="E8" s="36"/>
      <c r="F8" s="21" t="s">
        <v>534</v>
      </c>
      <c r="G8" s="21"/>
      <c r="H8" s="21" t="str">
        <f>IF(D8=1,"CN2 присутствует","CN2 отсутствует")</f>
        <v>CN2 присутствует</v>
      </c>
    </row>
    <row r="9" spans="1:8" ht="18" customHeight="1" x14ac:dyDescent="0.3">
      <c r="B9" s="21" t="s">
        <v>535</v>
      </c>
      <c r="C9" s="22" t="s">
        <v>383</v>
      </c>
      <c r="D9" s="22">
        <f>IFERROR(INT(MOD($E$41/4,2)),"")</f>
        <v>1</v>
      </c>
      <c r="E9" s="36"/>
      <c r="F9" s="21" t="s">
        <v>536</v>
      </c>
      <c r="G9" s="21"/>
      <c r="H9" s="21" t="str">
        <f>IF(D9=1,"CN3 присутствует","CN3 отсутствует")</f>
        <v>CN3 присутствует</v>
      </c>
    </row>
    <row r="10" spans="1:8" ht="18" customHeight="1" x14ac:dyDescent="0.3">
      <c r="B10" s="21" t="s">
        <v>537</v>
      </c>
      <c r="C10" s="22" t="s">
        <v>383</v>
      </c>
      <c r="D10" s="22">
        <f>IFERROR(INT(MOD($E$41/8,2)),"")</f>
        <v>1</v>
      </c>
      <c r="E10" s="36"/>
      <c r="F10" s="21" t="s">
        <v>538</v>
      </c>
      <c r="G10" s="21"/>
      <c r="H10" s="21" t="str">
        <f>IF(D10=1,"CN4 присутствует","CN4 отсутствует")</f>
        <v>CN4 присутствует</v>
      </c>
    </row>
    <row r="11" spans="1:8" ht="18" customHeight="1" x14ac:dyDescent="0.3">
      <c r="B11" s="21" t="s">
        <v>539</v>
      </c>
      <c r="C11" s="22" t="s">
        <v>383</v>
      </c>
      <c r="D11" s="22">
        <f>IFERROR(INT(MOD($E$41/16,2)),"")</f>
        <v>1</v>
      </c>
      <c r="E11" s="36"/>
      <c r="F11" s="21" t="s">
        <v>540</v>
      </c>
      <c r="G11" s="21"/>
      <c r="H11" s="21" t="str">
        <f>IF(D11=1,"CN5 присутствует","CN5 отсутствует")</f>
        <v>CN5 присутствует</v>
      </c>
    </row>
    <row r="12" spans="1:8" ht="18" customHeight="1" x14ac:dyDescent="0.3">
      <c r="B12" s="21" t="s">
        <v>541</v>
      </c>
      <c r="C12" s="22" t="s">
        <v>383</v>
      </c>
      <c r="D12" s="22">
        <f>IFERROR(INT(MOD($E$41/32,2)),"")</f>
        <v>1</v>
      </c>
      <c r="E12" s="36"/>
      <c r="F12" s="21" t="s">
        <v>542</v>
      </c>
      <c r="G12" s="21"/>
      <c r="H12" s="21" t="str">
        <f>IF(D12=1,"CN6 присутствует","CN6 отсутствует")</f>
        <v>CN6 присутствует</v>
      </c>
    </row>
    <row r="13" spans="1:8" ht="18" customHeight="1" x14ac:dyDescent="0.3">
      <c r="B13" s="21" t="s">
        <v>543</v>
      </c>
      <c r="C13" s="22" t="s">
        <v>383</v>
      </c>
      <c r="D13" s="22">
        <f>IFERROR(INT(MOD($E$41/64,2)),"")</f>
        <v>1</v>
      </c>
      <c r="E13" s="36"/>
      <c r="F13" s="21" t="s">
        <v>544</v>
      </c>
      <c r="G13" s="21"/>
      <c r="H13" s="21" t="str">
        <f>IF(D13=1,"CN7 присутствует","CN7 отсутствует")</f>
        <v>CN7 присутствует</v>
      </c>
    </row>
    <row r="14" spans="1:8" ht="18" customHeight="1" x14ac:dyDescent="0.3">
      <c r="B14" s="21" t="s">
        <v>545</v>
      </c>
      <c r="C14" s="22" t="s">
        <v>383</v>
      </c>
      <c r="D14" s="22">
        <f>IFERROR(INT(MOD($E$41/128,2)),"")</f>
        <v>1</v>
      </c>
      <c r="E14" s="36"/>
      <c r="F14" s="21" t="s">
        <v>546</v>
      </c>
      <c r="G14" s="21"/>
      <c r="H14" s="21" t="str">
        <f>IF(D14=1,"CN8 присутствует","CN8 отсутствует")</f>
        <v>CN8 присутствует</v>
      </c>
    </row>
    <row r="16" spans="1:8" ht="19.95" customHeight="1" x14ac:dyDescent="0.3">
      <c r="B16" s="24" t="s">
        <v>547</v>
      </c>
      <c r="C16" s="26" t="str">
        <f>IF(D7=1,(2)&amp;"-"&amp;((2)+2),"—")</f>
        <v>2-4</v>
      </c>
      <c r="D16" s="26" t="str">
        <f>IF(D7=1,INDEX($D$41:$D$65,2)&amp;" "&amp;INDEX($D$41:$D$65,(2)+1)&amp;" "&amp;INDEX($D$41:$D$65,(2)+2),"—")</f>
        <v>01 00 00</v>
      </c>
      <c r="E16" s="25">
        <f>IF(D7=1,INDEX($E$41:$E$65,(2)+2)*65536+INDEX($E$41:$E$65,(2)+1)*256+INDEX($E$41:$E$65,2),"")</f>
        <v>1</v>
      </c>
      <c r="F16" s="1" t="s">
        <v>548</v>
      </c>
      <c r="G16" s="1"/>
      <c r="H16" s="1" t="str">
        <f>IF(D7=1,"CN1 = "&amp;E16,"➖ Поле отсутствует")</f>
        <v>CN1 = 1</v>
      </c>
    </row>
    <row r="17" spans="2:8" ht="19.95" customHeight="1" x14ac:dyDescent="0.3">
      <c r="B17" s="24" t="s">
        <v>549</v>
      </c>
      <c r="C17" s="26" t="str">
        <f>IF(D8=1,(2+3*SUM($D$7:D7))&amp;"-"&amp;((2+3*SUM($D$7:D7))+2),"—")</f>
        <v>5-7</v>
      </c>
      <c r="D17" s="26" t="str">
        <f>IF(D8=1,INDEX($D$41:$D$65,2+3*SUM($D$7:D7))&amp;" "&amp;INDEX($D$41:$D$65,(2+3*SUM($D$7:D7))+1)&amp;" "&amp;INDEX($D$41:$D$65,(2+3*SUM($D$7:D7))+2),"—")</f>
        <v>02 00 00</v>
      </c>
      <c r="E17" s="25">
        <f>IF(D8=1,INDEX($E$41:$E$65,(2+3*SUM($D$7:D7))+2)*65536+INDEX($E$41:$E$65,(2+3*SUM($D$7:D7))+1)*256+INDEX($E$41:$E$65,2+3*SUM($D$7:D7)),"")</f>
        <v>2</v>
      </c>
      <c r="F17" s="1" t="s">
        <v>550</v>
      </c>
      <c r="G17" s="1"/>
      <c r="H17" s="1" t="str">
        <f>IF(D8=1,"CN2 = "&amp;E17,"➖ Поле отсутствует")</f>
        <v>CN2 = 2</v>
      </c>
    </row>
    <row r="18" spans="2:8" ht="19.95" customHeight="1" x14ac:dyDescent="0.3">
      <c r="B18" s="24" t="s">
        <v>551</v>
      </c>
      <c r="C18" s="26" t="str">
        <f>IF(D9=1,(2+3*SUM($D$7:D8))&amp;"-"&amp;((2+3*SUM($D$7:D8))+2),"—")</f>
        <v>8-10</v>
      </c>
      <c r="D18" s="26" t="str">
        <f>IF(D9=1,INDEX($D$41:$D$65,2+3*SUM($D$7:D8))&amp;" "&amp;INDEX($D$41:$D$65,(2+3*SUM($D$7:D8))+1)&amp;" "&amp;INDEX($D$41:$D$65,(2+3*SUM($D$7:D8))+2),"—")</f>
        <v>03 00 00</v>
      </c>
      <c r="E18" s="25">
        <f>IF(D9=1,INDEX($E$41:$E$65,(2+3*SUM($D$7:D8))+2)*65536+INDEX($E$41:$E$65,(2+3*SUM($D$7:D8))+1)*256+INDEX($E$41:$E$65,2+3*SUM($D$7:D8)),"")</f>
        <v>3</v>
      </c>
      <c r="F18" s="1" t="s">
        <v>552</v>
      </c>
      <c r="G18" s="1"/>
      <c r="H18" s="1" t="str">
        <f>IF(D9=1,"CN3 = "&amp;E18,"➖ Поле отсутствует")</f>
        <v>CN3 = 3</v>
      </c>
    </row>
    <row r="19" spans="2:8" ht="19.95" customHeight="1" x14ac:dyDescent="0.3">
      <c r="B19" s="24" t="s">
        <v>553</v>
      </c>
      <c r="C19" s="26" t="str">
        <f>IF(D10=1,(2+3*SUM($D$7:D9))&amp;"-"&amp;((2+3*SUM($D$7:D9))+2),"—")</f>
        <v>11-13</v>
      </c>
      <c r="D19" s="26" t="str">
        <f>IF(D10=1,INDEX($D$41:$D$65,2+3*SUM($D$7:D9))&amp;" "&amp;INDEX($D$41:$D$65,(2+3*SUM($D$7:D9))+1)&amp;" "&amp;INDEX($D$41:$D$65,(2+3*SUM($D$7:D9))+2),"—")</f>
        <v>10 27 00</v>
      </c>
      <c r="E19" s="25">
        <f>IF(D10=1,INDEX($E$41:$E$65,(2+3*SUM($D$7:D9))+2)*65536+INDEX($E$41:$E$65,(2+3*SUM($D$7:D9))+1)*256+INDEX($E$41:$E$65,2+3*SUM($D$7:D9)),"")</f>
        <v>10000</v>
      </c>
      <c r="F19" s="1" t="s">
        <v>554</v>
      </c>
      <c r="G19" s="1"/>
      <c r="H19" s="1" t="str">
        <f>IF(D10=1,"CN4 = "&amp;E19,"➖ Поле отсутствует")</f>
        <v>CN4 = 10000</v>
      </c>
    </row>
    <row r="20" spans="2:8" ht="19.95" customHeight="1" x14ac:dyDescent="0.3">
      <c r="B20" s="24" t="s">
        <v>555</v>
      </c>
      <c r="C20" s="26" t="str">
        <f>IF(D11=1,(2+3*SUM($D$7:D10))&amp;"-"&amp;((2+3*SUM($D$7:D10))+2),"—")</f>
        <v>14-16</v>
      </c>
      <c r="D20" s="26" t="str">
        <f>IF(D11=1,INDEX($D$41:$D$65,2+3*SUM($D$7:D10))&amp;" "&amp;INDEX($D$41:$D$65,(2+3*SUM($D$7:D10))+1)&amp;" "&amp;INDEX($D$41:$D$65,(2+3*SUM($D$7:D10))+2),"—")</f>
        <v>FF FF 00</v>
      </c>
      <c r="E20" s="25">
        <f>IF(D11=1,INDEX($E$41:$E$65,(2+3*SUM($D$7:D10))+2)*65536+INDEX($E$41:$E$65,(2+3*SUM($D$7:D10))+1)*256+INDEX($E$41:$E$65,2+3*SUM($D$7:D10)),"")</f>
        <v>65535</v>
      </c>
      <c r="F20" s="1" t="s">
        <v>556</v>
      </c>
      <c r="G20" s="1"/>
      <c r="H20" s="1" t="str">
        <f>IF(D11=1,"CN5 = "&amp;E20,"➖ Поле отсутствует")</f>
        <v>CN5 = 65535</v>
      </c>
    </row>
    <row r="21" spans="2:8" ht="19.95" customHeight="1" x14ac:dyDescent="0.3">
      <c r="B21" s="24" t="s">
        <v>557</v>
      </c>
      <c r="C21" s="26" t="str">
        <f>IF(D12=1,(2+3*SUM($D$7:D11))&amp;"-"&amp;((2+3*SUM($D$7:D11))+2),"—")</f>
        <v>17-19</v>
      </c>
      <c r="D21" s="26" t="str">
        <f>IF(D12=1,INDEX($D$41:$D$65,2+3*SUM($D$7:D11))&amp;" "&amp;INDEX($D$41:$D$65,(2+3*SUM($D$7:D11))+1)&amp;" "&amp;INDEX($D$41:$D$65,(2+3*SUM($D$7:D11))+2),"—")</f>
        <v>56 34 12</v>
      </c>
      <c r="E21" s="25">
        <f>IF(D12=1,INDEX($E$41:$E$65,(2+3*SUM($D$7:D11))+2)*65536+INDEX($E$41:$E$65,(2+3*SUM($D$7:D11))+1)*256+INDEX($E$41:$E$65,2+3*SUM($D$7:D11)),"")</f>
        <v>1193046</v>
      </c>
      <c r="F21" s="1" t="s">
        <v>558</v>
      </c>
      <c r="G21" s="1"/>
      <c r="H21" s="1" t="str">
        <f>IF(D12=1,"CN6 = "&amp;E21,"➖ Поле отсутствует")</f>
        <v>CN6 = 1193046</v>
      </c>
    </row>
    <row r="22" spans="2:8" ht="19.95" customHeight="1" x14ac:dyDescent="0.3">
      <c r="B22" s="24" t="s">
        <v>559</v>
      </c>
      <c r="C22" s="26" t="str">
        <f>IF(D13=1,(2+3*SUM($D$7:D12))&amp;"-"&amp;((2+3*SUM($D$7:D12))+2),"—")</f>
        <v>20-22</v>
      </c>
      <c r="D22" s="26" t="str">
        <f>IF(D13=1,INDEX($D$41:$D$65,2+3*SUM($D$7:D12))&amp;" "&amp;INDEX($D$41:$D$65,(2+3*SUM($D$7:D12))+1)&amp;" "&amp;INDEX($D$41:$D$65,(2+3*SUM($D$7:D12))+2),"—")</f>
        <v>AA 55 00</v>
      </c>
      <c r="E22" s="25">
        <f>IF(D13=1,INDEX($E$41:$E$65,(2+3*SUM($D$7:D12))+2)*65536+INDEX($E$41:$E$65,(2+3*SUM($D$7:D12))+1)*256+INDEX($E$41:$E$65,2+3*SUM($D$7:D12)),"")</f>
        <v>21930</v>
      </c>
      <c r="F22" s="1" t="s">
        <v>560</v>
      </c>
      <c r="G22" s="1"/>
      <c r="H22" s="1" t="str">
        <f>IF(D13=1,"CN7 = "&amp;E22,"➖ Поле отсутствует")</f>
        <v>CN7 = 21930</v>
      </c>
    </row>
    <row r="23" spans="2:8" ht="19.95" customHeight="1" x14ac:dyDescent="0.3">
      <c r="B23" s="24" t="s">
        <v>561</v>
      </c>
      <c r="C23" s="26" t="str">
        <f>IF(D14=1,(2+3*SUM($D$7:D13))&amp;"-"&amp;((2+3*SUM($D$7:D13))+2),"—")</f>
        <v>23-25</v>
      </c>
      <c r="D23" s="26" t="str">
        <f>IF(D14=1,INDEX($D$41:$D$65,2+3*SUM($D$7:D13))&amp;" "&amp;INDEX($D$41:$D$65,(2+3*SUM($D$7:D13))+1)&amp;" "&amp;INDEX($D$41:$D$65,(2+3*SUM($D$7:D13))+2),"—")</f>
        <v>FE DC BA</v>
      </c>
      <c r="E23" s="25">
        <f>IF(D14=1,INDEX($E$41:$E$65,(2+3*SUM($D$7:D13))+2)*65536+INDEX($E$41:$E$65,(2+3*SUM($D$7:D13))+1)*256+INDEX($E$41:$E$65,2+3*SUM($D$7:D13)),"")</f>
        <v>12246270</v>
      </c>
      <c r="F23" s="1" t="s">
        <v>562</v>
      </c>
      <c r="G23" s="1"/>
      <c r="H23" s="1" t="str">
        <f>IF(D14=1,"CN8 = "&amp;E23,"➖ Поле отсутствует")</f>
        <v>CN8 = 12246270</v>
      </c>
    </row>
    <row r="40" spans="2:8" ht="15" customHeight="1" x14ac:dyDescent="0.3">
      <c r="B40" s="59" t="s">
        <v>416</v>
      </c>
      <c r="C40" s="53"/>
      <c r="D40" s="53"/>
      <c r="E40" s="53"/>
      <c r="F40" s="53"/>
      <c r="G40" s="53"/>
      <c r="H40" s="54"/>
    </row>
    <row r="41" spans="2:8" ht="18" customHeight="1" x14ac:dyDescent="0.3">
      <c r="B41" s="23" t="s">
        <v>77</v>
      </c>
      <c r="C41" s="16" t="s">
        <v>383</v>
      </c>
      <c r="D41" s="16" t="str">
        <f>IFERROR(UPPER(TRIM(MID(SUBSTITUTE(B3," ",REPT(" ",10)),((1)-1)*12+1,10))),"")</f>
        <v>FF</v>
      </c>
      <c r="E41" s="15">
        <f t="shared" ref="E41:E65" si="0">IFERROR(HEX2DEC(D41),"")</f>
        <v>255</v>
      </c>
      <c r="F41" s="2"/>
      <c r="G41" s="2"/>
      <c r="H41" s="2"/>
    </row>
    <row r="42" spans="2:8" ht="18" customHeight="1" x14ac:dyDescent="0.3">
      <c r="B42" s="23" t="s">
        <v>78</v>
      </c>
      <c r="C42" s="16" t="s">
        <v>384</v>
      </c>
      <c r="D42" s="16" t="str">
        <f>IFERROR(UPPER(TRIM(MID(SUBSTITUTE(B3," ",REPT(" ",10)),((2)-1)*12+1,10))),"")</f>
        <v>01</v>
      </c>
      <c r="E42" s="15">
        <f t="shared" si="0"/>
        <v>1</v>
      </c>
      <c r="F42" s="2"/>
      <c r="G42" s="2"/>
      <c r="H42" s="2"/>
    </row>
    <row r="43" spans="2:8" ht="18" customHeight="1" x14ac:dyDescent="0.3">
      <c r="B43" s="23" t="s">
        <v>79</v>
      </c>
      <c r="C43" s="16" t="s">
        <v>385</v>
      </c>
      <c r="D43" s="16" t="str">
        <f>IFERROR(UPPER(TRIM(MID(SUBSTITUTE(B3," ",REPT(" ",10)),((3)-1)*12+1,10))),"")</f>
        <v>00</v>
      </c>
      <c r="E43" s="15">
        <f t="shared" si="0"/>
        <v>0</v>
      </c>
      <c r="F43" s="2"/>
      <c r="G43" s="2"/>
      <c r="H43" s="2"/>
    </row>
    <row r="44" spans="2:8" ht="18" customHeight="1" x14ac:dyDescent="0.3">
      <c r="B44" s="23" t="s">
        <v>80</v>
      </c>
      <c r="C44" s="16" t="s">
        <v>386</v>
      </c>
      <c r="D44" s="16" t="str">
        <f>IFERROR(UPPER(TRIM(MID(SUBSTITUTE(B3," ",REPT(" ",10)),((4)-1)*12+1,10))),"")</f>
        <v>00</v>
      </c>
      <c r="E44" s="15">
        <f t="shared" si="0"/>
        <v>0</v>
      </c>
      <c r="F44" s="2"/>
      <c r="G44" s="2"/>
      <c r="H44" s="2"/>
    </row>
    <row r="45" spans="2:8" ht="18" customHeight="1" x14ac:dyDescent="0.3">
      <c r="B45" s="23" t="s">
        <v>81</v>
      </c>
      <c r="C45" s="16" t="s">
        <v>234</v>
      </c>
      <c r="D45" s="16" t="str">
        <f>IFERROR(UPPER(TRIM(MID(SUBSTITUTE(B3," ",REPT(" ",10)),((5)-1)*12+1,10))),"")</f>
        <v>02</v>
      </c>
      <c r="E45" s="15">
        <f t="shared" si="0"/>
        <v>2</v>
      </c>
      <c r="F45" s="2"/>
      <c r="G45" s="2"/>
      <c r="H45" s="2"/>
    </row>
    <row r="46" spans="2:8" ht="18" customHeight="1" x14ac:dyDescent="0.3">
      <c r="B46" s="23" t="s">
        <v>82</v>
      </c>
      <c r="C46" s="16" t="s">
        <v>387</v>
      </c>
      <c r="D46" s="16" t="str">
        <f>IFERROR(UPPER(TRIM(MID(SUBSTITUTE(B3," ",REPT(" ",10)),((6)-1)*12+1,10))),"")</f>
        <v>00</v>
      </c>
      <c r="E46" s="15">
        <f t="shared" si="0"/>
        <v>0</v>
      </c>
      <c r="F46" s="2"/>
      <c r="G46" s="2"/>
      <c r="H46" s="2"/>
    </row>
    <row r="47" spans="2:8" ht="18" customHeight="1" x14ac:dyDescent="0.3">
      <c r="B47" s="23" t="s">
        <v>83</v>
      </c>
      <c r="C47" s="16" t="s">
        <v>388</v>
      </c>
      <c r="D47" s="16" t="str">
        <f>IFERROR(UPPER(TRIM(MID(SUBSTITUTE(B3," ",REPT(" ",10)),((7)-1)*12+1,10))),"")</f>
        <v>00</v>
      </c>
      <c r="E47" s="15">
        <f t="shared" si="0"/>
        <v>0</v>
      </c>
      <c r="F47" s="2"/>
      <c r="G47" s="2"/>
      <c r="H47" s="2"/>
    </row>
    <row r="48" spans="2:8" ht="18" customHeight="1" x14ac:dyDescent="0.3">
      <c r="B48" s="23" t="s">
        <v>84</v>
      </c>
      <c r="C48" s="16" t="s">
        <v>389</v>
      </c>
      <c r="D48" s="16" t="str">
        <f>IFERROR(UPPER(TRIM(MID(SUBSTITUTE(B3," ",REPT(" ",10)),((8)-1)*12+1,10))),"")</f>
        <v>03</v>
      </c>
      <c r="E48" s="15">
        <f t="shared" si="0"/>
        <v>3</v>
      </c>
      <c r="F48" s="2"/>
      <c r="G48" s="2"/>
      <c r="H48" s="2"/>
    </row>
    <row r="49" spans="2:8" ht="18" customHeight="1" x14ac:dyDescent="0.3">
      <c r="B49" s="23" t="s">
        <v>85</v>
      </c>
      <c r="C49" s="16" t="s">
        <v>390</v>
      </c>
      <c r="D49" s="16" t="str">
        <f>IFERROR(UPPER(TRIM(MID(SUBSTITUTE(B3," ",REPT(" ",10)),((9)-1)*12+1,10))),"")</f>
        <v>00</v>
      </c>
      <c r="E49" s="15">
        <f t="shared" si="0"/>
        <v>0</v>
      </c>
      <c r="F49" s="2"/>
      <c r="G49" s="2"/>
      <c r="H49" s="2"/>
    </row>
    <row r="50" spans="2:8" ht="18" customHeight="1" x14ac:dyDescent="0.3">
      <c r="B50" s="23" t="s">
        <v>86</v>
      </c>
      <c r="C50" s="16" t="s">
        <v>41</v>
      </c>
      <c r="D50" s="16" t="str">
        <f>IFERROR(UPPER(TRIM(MID(SUBSTITUTE(B3," ",REPT(" ",10)),((10)-1)*12+1,10))),"")</f>
        <v>00</v>
      </c>
      <c r="E50" s="15">
        <f t="shared" si="0"/>
        <v>0</v>
      </c>
      <c r="F50" s="2"/>
      <c r="G50" s="2"/>
      <c r="H50" s="2"/>
    </row>
    <row r="51" spans="2:8" ht="18" customHeight="1" x14ac:dyDescent="0.3">
      <c r="B51" s="23" t="s">
        <v>87</v>
      </c>
      <c r="C51" s="16" t="s">
        <v>391</v>
      </c>
      <c r="D51" s="16" t="str">
        <f>IFERROR(UPPER(TRIM(MID(SUBSTITUTE(B3," ",REPT(" ",10)),((11)-1)*12+1,10))),"")</f>
        <v>10</v>
      </c>
      <c r="E51" s="15">
        <f t="shared" si="0"/>
        <v>16</v>
      </c>
      <c r="F51" s="2"/>
      <c r="G51" s="2"/>
      <c r="H51" s="2"/>
    </row>
    <row r="52" spans="2:8" ht="18" customHeight="1" x14ac:dyDescent="0.3">
      <c r="B52" s="23" t="s">
        <v>88</v>
      </c>
      <c r="C52" s="16" t="s">
        <v>392</v>
      </c>
      <c r="D52" s="16" t="str">
        <f>IFERROR(UPPER(TRIM(MID(SUBSTITUTE(B3," ",REPT(" ",10)),((12)-1)*12+1,10))),"")</f>
        <v>27</v>
      </c>
      <c r="E52" s="15">
        <f t="shared" si="0"/>
        <v>39</v>
      </c>
      <c r="F52" s="2"/>
      <c r="G52" s="2"/>
      <c r="H52" s="2"/>
    </row>
    <row r="53" spans="2:8" ht="18" customHeight="1" x14ac:dyDescent="0.3">
      <c r="B53" s="23" t="s">
        <v>89</v>
      </c>
      <c r="C53" s="16" t="s">
        <v>191</v>
      </c>
      <c r="D53" s="16" t="str">
        <f>IFERROR(UPPER(TRIM(MID(SUBSTITUTE(B3," ",REPT(" ",10)),((13)-1)*12+1,10))),"")</f>
        <v>00</v>
      </c>
      <c r="E53" s="15">
        <f t="shared" si="0"/>
        <v>0</v>
      </c>
      <c r="F53" s="2"/>
      <c r="G53" s="2"/>
      <c r="H53" s="2"/>
    </row>
    <row r="54" spans="2:8" ht="18" customHeight="1" x14ac:dyDescent="0.3">
      <c r="B54" s="23" t="s">
        <v>90</v>
      </c>
      <c r="C54" s="16" t="s">
        <v>508</v>
      </c>
      <c r="D54" s="16" t="str">
        <f>IFERROR(UPPER(TRIM(MID(SUBSTITUTE(B3," ",REPT(" ",10)),((14)-1)*12+1,10))),"")</f>
        <v>FF</v>
      </c>
      <c r="E54" s="15">
        <f t="shared" si="0"/>
        <v>255</v>
      </c>
      <c r="F54" s="2"/>
      <c r="G54" s="2"/>
      <c r="H54" s="2"/>
    </row>
    <row r="55" spans="2:8" ht="18" customHeight="1" x14ac:dyDescent="0.3">
      <c r="B55" s="23" t="s">
        <v>91</v>
      </c>
      <c r="C55" s="16" t="s">
        <v>47</v>
      </c>
      <c r="D55" s="16" t="str">
        <f>IFERROR(UPPER(TRIM(MID(SUBSTITUTE(B3," ",REPT(" ",10)),((15)-1)*12+1,10))),"")</f>
        <v>FF</v>
      </c>
      <c r="E55" s="15">
        <f t="shared" si="0"/>
        <v>255</v>
      </c>
      <c r="F55" s="2"/>
      <c r="G55" s="2"/>
      <c r="H55" s="2"/>
    </row>
    <row r="56" spans="2:8" ht="18" customHeight="1" x14ac:dyDescent="0.3">
      <c r="B56" s="23" t="s">
        <v>92</v>
      </c>
      <c r="C56" s="16" t="s">
        <v>218</v>
      </c>
      <c r="D56" s="16" t="str">
        <f>IFERROR(UPPER(TRIM(MID(SUBSTITUTE(B3," ",REPT(" ",10)),((16)-1)*12+1,10))),"")</f>
        <v>00</v>
      </c>
      <c r="E56" s="15">
        <f t="shared" si="0"/>
        <v>0</v>
      </c>
      <c r="F56" s="2"/>
      <c r="G56" s="2"/>
      <c r="H56" s="2"/>
    </row>
    <row r="57" spans="2:8" ht="18" customHeight="1" x14ac:dyDescent="0.3">
      <c r="B57" s="23" t="s">
        <v>93</v>
      </c>
      <c r="C57" s="16" t="s">
        <v>509</v>
      </c>
      <c r="D57" s="16" t="str">
        <f>IFERROR(UPPER(TRIM(MID(SUBSTITUTE(B3," ",REPT(" ",10)),((17)-1)*12+1,10))),"")</f>
        <v>56</v>
      </c>
      <c r="E57" s="15">
        <f t="shared" si="0"/>
        <v>86</v>
      </c>
      <c r="F57" s="2"/>
      <c r="G57" s="2"/>
      <c r="H57" s="2"/>
    </row>
    <row r="58" spans="2:8" ht="18" customHeight="1" x14ac:dyDescent="0.3">
      <c r="B58" s="23" t="s">
        <v>94</v>
      </c>
      <c r="C58" s="16" t="s">
        <v>510</v>
      </c>
      <c r="D58" s="16" t="str">
        <f>IFERROR(UPPER(TRIM(MID(SUBSTITUTE(B3," ",REPT(" ",10)),((18)-1)*12+1,10))),"")</f>
        <v>34</v>
      </c>
      <c r="E58" s="15">
        <f t="shared" si="0"/>
        <v>52</v>
      </c>
      <c r="F58" s="2"/>
      <c r="G58" s="2"/>
      <c r="H58" s="2"/>
    </row>
    <row r="59" spans="2:8" ht="18" customHeight="1" x14ac:dyDescent="0.3">
      <c r="B59" s="23" t="s">
        <v>95</v>
      </c>
      <c r="C59" s="16" t="s">
        <v>511</v>
      </c>
      <c r="D59" s="16" t="str">
        <f>IFERROR(UPPER(TRIM(MID(SUBSTITUTE(B3," ",REPT(" ",10)),((19)-1)*12+1,10))),"")</f>
        <v>12</v>
      </c>
      <c r="E59" s="15">
        <f t="shared" si="0"/>
        <v>18</v>
      </c>
      <c r="F59" s="2"/>
      <c r="G59" s="2"/>
      <c r="H59" s="2"/>
    </row>
    <row r="60" spans="2:8" ht="18" customHeight="1" x14ac:dyDescent="0.3">
      <c r="B60" s="23" t="s">
        <v>96</v>
      </c>
      <c r="C60" s="16" t="s">
        <v>224</v>
      </c>
      <c r="D60" s="16" t="str">
        <f>IFERROR(UPPER(TRIM(MID(SUBSTITUTE(B3," ",REPT(" ",10)),((20)-1)*12+1,10))),"")</f>
        <v>AA</v>
      </c>
      <c r="E60" s="15">
        <f t="shared" si="0"/>
        <v>170</v>
      </c>
      <c r="F60" s="2"/>
      <c r="G60" s="2"/>
      <c r="H60" s="2"/>
    </row>
    <row r="61" spans="2:8" ht="18" customHeight="1" x14ac:dyDescent="0.3">
      <c r="B61" s="23" t="s">
        <v>97</v>
      </c>
      <c r="C61" s="16" t="s">
        <v>227</v>
      </c>
      <c r="D61" s="16" t="str">
        <f>IFERROR(UPPER(TRIM(MID(SUBSTITUTE(B3," ",REPT(" ",10)),((21)-1)*12+1,10))),"")</f>
        <v>55</v>
      </c>
      <c r="E61" s="15">
        <f t="shared" si="0"/>
        <v>85</v>
      </c>
      <c r="F61" s="2"/>
      <c r="G61" s="2"/>
      <c r="H61" s="2"/>
    </row>
    <row r="62" spans="2:8" ht="18" customHeight="1" x14ac:dyDescent="0.3">
      <c r="B62" s="23" t="s">
        <v>98</v>
      </c>
      <c r="C62" s="16" t="s">
        <v>512</v>
      </c>
      <c r="D62" s="16" t="str">
        <f>IFERROR(UPPER(TRIM(MID(SUBSTITUTE(B3," ",REPT(" ",10)),((22)-1)*12+1,10))),"")</f>
        <v>00</v>
      </c>
      <c r="E62" s="15">
        <f t="shared" si="0"/>
        <v>0</v>
      </c>
      <c r="F62" s="2"/>
      <c r="G62" s="2"/>
      <c r="H62" s="2"/>
    </row>
    <row r="63" spans="2:8" ht="18" customHeight="1" x14ac:dyDescent="0.3">
      <c r="B63" s="23" t="s">
        <v>99</v>
      </c>
      <c r="C63" s="16" t="s">
        <v>513</v>
      </c>
      <c r="D63" s="16" t="str">
        <f>IFERROR(UPPER(TRIM(MID(SUBSTITUTE(B3," ",REPT(" ",10)),((23)-1)*12+1,10))),"")</f>
        <v>FE</v>
      </c>
      <c r="E63" s="15">
        <f t="shared" si="0"/>
        <v>254</v>
      </c>
      <c r="F63" s="2"/>
      <c r="G63" s="2"/>
      <c r="H63" s="2"/>
    </row>
    <row r="64" spans="2:8" ht="18" customHeight="1" x14ac:dyDescent="0.3">
      <c r="B64" s="23" t="s">
        <v>100</v>
      </c>
      <c r="C64" s="16" t="s">
        <v>514</v>
      </c>
      <c r="D64" s="16" t="str">
        <f>IFERROR(UPPER(TRIM(MID(SUBSTITUTE(B3," ",REPT(" ",10)),((24)-1)*12+1,10))),"")</f>
        <v>DC</v>
      </c>
      <c r="E64" s="15">
        <f t="shared" si="0"/>
        <v>220</v>
      </c>
      <c r="F64" s="2"/>
      <c r="G64" s="2"/>
      <c r="H64" s="2"/>
    </row>
    <row r="65" spans="2:8" ht="18" customHeight="1" x14ac:dyDescent="0.3">
      <c r="B65" s="23" t="s">
        <v>101</v>
      </c>
      <c r="C65" s="16" t="s">
        <v>515</v>
      </c>
      <c r="D65" s="16" t="str">
        <f>IFERROR(UPPER(TRIM(MID(SUBSTITUTE(B3," ",REPT(" ",10)),((25)-1)*12+1,10))),"")</f>
        <v>BA</v>
      </c>
      <c r="E65" s="15">
        <f t="shared" si="0"/>
        <v>186</v>
      </c>
      <c r="F65" s="2"/>
      <c r="G65" s="2"/>
      <c r="H65" s="2"/>
    </row>
  </sheetData>
  <mergeCells count="5">
    <mergeCell ref="A1:H1"/>
    <mergeCell ref="B2:H2"/>
    <mergeCell ref="B3:H3"/>
    <mergeCell ref="B4:H4"/>
    <mergeCell ref="B40:H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FD39-CB25-4D62-AC3D-4B3B9B3E2A8E}">
  <sheetPr>
    <tabColor rgb="FFC55A11"/>
  </sheetPr>
  <dimension ref="A1:H37"/>
  <sheetViews>
    <sheetView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D6" sqref="D6"/>
    </sheetView>
  </sheetViews>
  <sheetFormatPr defaultColWidth="8.6640625" defaultRowHeight="14.4" x14ac:dyDescent="0.3"/>
  <cols>
    <col min="1" max="1" width="3" customWidth="1"/>
    <col min="2" max="2" width="26" customWidth="1"/>
    <col min="3" max="3" width="11" customWidth="1"/>
    <col min="4" max="4" width="19.44140625" customWidth="1"/>
    <col min="5" max="5" width="17.33203125" customWidth="1"/>
    <col min="6" max="6" width="85" customWidth="1"/>
    <col min="7" max="7" width="25" customWidth="1"/>
    <col min="8" max="8" width="36" customWidth="1"/>
  </cols>
  <sheetData>
    <row r="1" spans="1:8" ht="34.5" customHeight="1" x14ac:dyDescent="0.3">
      <c r="A1" s="52" t="s">
        <v>563</v>
      </c>
      <c r="B1" s="53"/>
      <c r="C1" s="53"/>
      <c r="D1" s="53"/>
      <c r="E1" s="53"/>
      <c r="F1" s="53"/>
      <c r="G1" s="53"/>
      <c r="H1" s="54"/>
    </row>
    <row r="2" spans="1:8" ht="21.75" customHeight="1" x14ac:dyDescent="0.3">
      <c r="B2" s="61" t="s">
        <v>564</v>
      </c>
      <c r="C2" s="53"/>
      <c r="D2" s="53"/>
      <c r="E2" s="53"/>
      <c r="F2" s="53"/>
      <c r="G2" s="53"/>
      <c r="H2" s="54"/>
    </row>
    <row r="3" spans="1:8" ht="27.75" customHeight="1" x14ac:dyDescent="0.3">
      <c r="B3" s="55" t="s">
        <v>565</v>
      </c>
      <c r="C3" s="56"/>
      <c r="D3" s="56"/>
      <c r="E3" s="56"/>
      <c r="F3" s="56"/>
      <c r="G3" s="56"/>
      <c r="H3" s="57"/>
    </row>
    <row r="4" spans="1:8" ht="19.5" customHeight="1" x14ac:dyDescent="0.3">
      <c r="B4" s="66" t="str">
        <f>IFERROR("📊 Всего байт: "&amp;LEN(TRIM(B3))-LEN(SUBSTITUTE(TRIM(B3)," ",""))+1,"")</f>
        <v>📊 Всего байт: 7</v>
      </c>
      <c r="C4" s="53"/>
      <c r="D4" s="53"/>
      <c r="E4" s="53"/>
      <c r="F4" s="53"/>
      <c r="G4" s="53"/>
      <c r="H4" s="54"/>
    </row>
    <row r="5" spans="1:8" ht="24.75" customHeight="1" x14ac:dyDescent="0.3">
      <c r="B5" s="9" t="s">
        <v>177</v>
      </c>
      <c r="C5" s="9" t="s">
        <v>178</v>
      </c>
      <c r="D5" s="9" t="s">
        <v>4</v>
      </c>
      <c r="E5" s="9" t="s">
        <v>5</v>
      </c>
      <c r="F5" s="9" t="s">
        <v>7</v>
      </c>
      <c r="G5" s="9" t="s">
        <v>354</v>
      </c>
      <c r="H5" s="9" t="s">
        <v>231</v>
      </c>
    </row>
    <row r="6" spans="1:8" ht="21.75" customHeight="1" x14ac:dyDescent="0.3">
      <c r="B6" s="24" t="s">
        <v>190</v>
      </c>
      <c r="C6" s="26" t="s">
        <v>383</v>
      </c>
      <c r="D6" s="26" t="str">
        <f>$D$31</f>
        <v>6D</v>
      </c>
      <c r="E6" s="25">
        <f>$E$31</f>
        <v>109</v>
      </c>
      <c r="F6" s="1" t="s">
        <v>566</v>
      </c>
      <c r="G6" s="1" t="str">
        <f>IFERROR(DEC2BIN(E6,8),"")</f>
        <v>01101101</v>
      </c>
      <c r="H6" s="1" t="str">
        <f>"Флаги датчика уровня жидкости"</f>
        <v>Флаги датчика уровня жидкости</v>
      </c>
    </row>
    <row r="7" spans="1:8" ht="19.5" customHeight="1" x14ac:dyDescent="0.3">
      <c r="B7" s="21" t="s">
        <v>567</v>
      </c>
      <c r="C7" s="22" t="s">
        <v>383</v>
      </c>
      <c r="D7" s="22">
        <f>IFERROR(INT(MOD($E$31/64,2)),"")</f>
        <v>1</v>
      </c>
      <c r="E7" s="36"/>
      <c r="F7" s="21" t="s">
        <v>568</v>
      </c>
      <c r="G7" s="21"/>
      <c r="H7" s="21" t="str">
        <f>IF(D7=1,"Ошибка датчика","Ошибки нет")</f>
        <v>Ошибка датчика</v>
      </c>
    </row>
    <row r="8" spans="1:8" ht="19.5" customHeight="1" x14ac:dyDescent="0.3">
      <c r="B8" s="21" t="s">
        <v>569</v>
      </c>
      <c r="C8" s="22" t="s">
        <v>383</v>
      </c>
      <c r="D8" s="22">
        <f>IFERROR(INT(MOD($E$31/16,4)),"")</f>
        <v>2</v>
      </c>
      <c r="E8" s="36"/>
      <c r="F8" s="21" t="s">
        <v>570</v>
      </c>
      <c r="G8" s="21"/>
      <c r="H8" s="21" t="str">
        <f>"Код единицы: "&amp;D8</f>
        <v>Код единицы: 2</v>
      </c>
    </row>
    <row r="9" spans="1:8" ht="19.5" customHeight="1" x14ac:dyDescent="0.3">
      <c r="B9" s="21" t="s">
        <v>571</v>
      </c>
      <c r="C9" s="22" t="s">
        <v>383</v>
      </c>
      <c r="D9" s="22">
        <f>IFERROR(INT(MOD($E$31/8,2)),"")</f>
        <v>1</v>
      </c>
      <c r="E9" s="36"/>
      <c r="F9" s="21" t="s">
        <v>572</v>
      </c>
      <c r="G9" s="21"/>
      <c r="H9" s="21" t="str">
        <f>IF(D9=1,"Передаются сырые данные","Обычные данные")</f>
        <v>Передаются сырые данные</v>
      </c>
    </row>
    <row r="10" spans="1:8" ht="19.5" customHeight="1" x14ac:dyDescent="0.3">
      <c r="B10" s="21" t="s">
        <v>573</v>
      </c>
      <c r="C10" s="22" t="s">
        <v>383</v>
      </c>
      <c r="D10" s="22">
        <f>IFERROR(MOD($E$31,8),"")</f>
        <v>5</v>
      </c>
      <c r="E10" s="36"/>
      <c r="F10" s="21" t="s">
        <v>574</v>
      </c>
      <c r="G10" s="21"/>
      <c r="H10" s="21" t="str">
        <f>"Номер датчика: "&amp;D10</f>
        <v>Номер датчика: 5</v>
      </c>
    </row>
    <row r="12" spans="1:8" ht="21.75" customHeight="1" x14ac:dyDescent="0.3">
      <c r="B12" s="24" t="s">
        <v>575</v>
      </c>
      <c r="C12" s="26" t="s">
        <v>576</v>
      </c>
      <c r="D12" s="26" t="str">
        <f>INDEX($D$31:$D$37,2)&amp;" "&amp;INDEX($D$31:$D$37,3)</f>
        <v>34 12</v>
      </c>
      <c r="E12" s="25">
        <f>INDEX($E$31:$E$37,3)*256+INDEX($E$31:$E$37,2)</f>
        <v>4660</v>
      </c>
      <c r="F12" s="1" t="s">
        <v>577</v>
      </c>
      <c r="G12" s="1"/>
      <c r="H12" s="1" t="str">
        <f>"Адрес модуля: "&amp;E12</f>
        <v>Адрес модуля: 4660</v>
      </c>
    </row>
    <row r="13" spans="1:8" ht="21.75" customHeight="1" x14ac:dyDescent="0.3">
      <c r="B13" s="24" t="s">
        <v>578</v>
      </c>
      <c r="C13" s="26" t="s">
        <v>579</v>
      </c>
      <c r="D13" s="26" t="str">
        <f>INDEX($D$31:$D$37,4)&amp;" "&amp;INDEX($D$31:$D$37,5)&amp;" "&amp;INDEX($D$31:$D$37,6)&amp;" "&amp;INDEX($D$31:$D$37,7)</f>
        <v>78 56 34 12</v>
      </c>
      <c r="E13" s="25">
        <f>INDEX($E$31:$E$37,7)*16777216+INDEX($E$31:$E$37,6)*65536+INDEX($E$31:$E$37,5)*256+INDEX($E$31:$E$37,4)</f>
        <v>305419896</v>
      </c>
      <c r="F13" s="1" t="s">
        <v>580</v>
      </c>
      <c r="G13" s="1"/>
      <c r="H13" s="1" t="str">
        <f>"Показание: "&amp;E13</f>
        <v>Показание: 305419896</v>
      </c>
    </row>
    <row r="30" spans="2:8" ht="15" customHeight="1" x14ac:dyDescent="0.3">
      <c r="B30" s="59" t="s">
        <v>416</v>
      </c>
      <c r="C30" s="53"/>
      <c r="D30" s="53"/>
      <c r="E30" s="53"/>
      <c r="F30" s="53"/>
      <c r="G30" s="53"/>
      <c r="H30" s="54"/>
    </row>
    <row r="31" spans="2:8" ht="18" customHeight="1" x14ac:dyDescent="0.3">
      <c r="B31" s="23" t="s">
        <v>77</v>
      </c>
      <c r="C31" s="16" t="s">
        <v>383</v>
      </c>
      <c r="D31" s="16" t="str">
        <f>IFERROR(UPPER(TRIM(MID(SUBSTITUTE(B3," ",REPT(" ",10)),((1)-1)*12+1,10))),"")</f>
        <v>6D</v>
      </c>
      <c r="E31" s="15">
        <f t="shared" ref="E31:E37" si="0">IFERROR(HEX2DEC(D31),"")</f>
        <v>109</v>
      </c>
      <c r="F31" s="2"/>
      <c r="G31" s="2"/>
      <c r="H31" s="2"/>
    </row>
    <row r="32" spans="2:8" ht="18" customHeight="1" x14ac:dyDescent="0.3">
      <c r="B32" s="23" t="s">
        <v>78</v>
      </c>
      <c r="C32" s="16" t="s">
        <v>384</v>
      </c>
      <c r="D32" s="16" t="str">
        <f>IFERROR(UPPER(TRIM(MID(SUBSTITUTE(B3," ",REPT(" ",10)),((2)-1)*12+1,10))),"")</f>
        <v>34</v>
      </c>
      <c r="E32" s="15">
        <f t="shared" si="0"/>
        <v>52</v>
      </c>
      <c r="F32" s="2"/>
      <c r="G32" s="2"/>
      <c r="H32" s="2"/>
    </row>
    <row r="33" spans="2:8" ht="18" customHeight="1" x14ac:dyDescent="0.3">
      <c r="B33" s="23" t="s">
        <v>79</v>
      </c>
      <c r="C33" s="16" t="s">
        <v>385</v>
      </c>
      <c r="D33" s="16" t="str">
        <f>IFERROR(UPPER(TRIM(MID(SUBSTITUTE(B3," ",REPT(" ",10)),((3)-1)*12+1,10))),"")</f>
        <v>12</v>
      </c>
      <c r="E33" s="15">
        <f t="shared" si="0"/>
        <v>18</v>
      </c>
      <c r="F33" s="2"/>
      <c r="G33" s="2"/>
      <c r="H33" s="2"/>
    </row>
    <row r="34" spans="2:8" ht="18" customHeight="1" x14ac:dyDescent="0.3">
      <c r="B34" s="23" t="s">
        <v>80</v>
      </c>
      <c r="C34" s="16" t="s">
        <v>386</v>
      </c>
      <c r="D34" s="16" t="str">
        <f>IFERROR(UPPER(TRIM(MID(SUBSTITUTE(B3," ",REPT(" ",10)),((4)-1)*12+1,10))),"")</f>
        <v>78</v>
      </c>
      <c r="E34" s="15">
        <f t="shared" si="0"/>
        <v>120</v>
      </c>
      <c r="F34" s="2"/>
      <c r="G34" s="2"/>
      <c r="H34" s="2"/>
    </row>
    <row r="35" spans="2:8" ht="18" customHeight="1" x14ac:dyDescent="0.3">
      <c r="B35" s="23" t="s">
        <v>81</v>
      </c>
      <c r="C35" s="16" t="s">
        <v>234</v>
      </c>
      <c r="D35" s="16" t="str">
        <f>IFERROR(UPPER(TRIM(MID(SUBSTITUTE(B3," ",REPT(" ",10)),((5)-1)*12+1,10))),"")</f>
        <v>56</v>
      </c>
      <c r="E35" s="15">
        <f t="shared" si="0"/>
        <v>86</v>
      </c>
      <c r="F35" s="2"/>
      <c r="G35" s="2"/>
      <c r="H35" s="2"/>
    </row>
    <row r="36" spans="2:8" ht="18" customHeight="1" x14ac:dyDescent="0.3">
      <c r="B36" s="23" t="s">
        <v>82</v>
      </c>
      <c r="C36" s="16" t="s">
        <v>387</v>
      </c>
      <c r="D36" s="16" t="str">
        <f>IFERROR(UPPER(TRIM(MID(SUBSTITUTE(B3," ",REPT(" ",10)),((6)-1)*12+1,10))),"")</f>
        <v>34</v>
      </c>
      <c r="E36" s="15">
        <f t="shared" si="0"/>
        <v>52</v>
      </c>
      <c r="F36" s="2"/>
      <c r="G36" s="2"/>
      <c r="H36" s="2"/>
    </row>
    <row r="37" spans="2:8" ht="18" customHeight="1" x14ac:dyDescent="0.3">
      <c r="B37" s="23" t="s">
        <v>83</v>
      </c>
      <c r="C37" s="16" t="s">
        <v>388</v>
      </c>
      <c r="D37" s="16" t="str">
        <f>IFERROR(UPPER(TRIM(MID(SUBSTITUTE(B3," ",REPT(" ",10)),((7)-1)*12+1,10))),"")</f>
        <v>12</v>
      </c>
      <c r="E37" s="15">
        <f t="shared" si="0"/>
        <v>18</v>
      </c>
      <c r="F37" s="2"/>
      <c r="G37" s="2"/>
      <c r="H37" s="2"/>
    </row>
  </sheetData>
  <mergeCells count="5">
    <mergeCell ref="A1:H1"/>
    <mergeCell ref="B2:H2"/>
    <mergeCell ref="B3:H3"/>
    <mergeCell ref="B4:H4"/>
    <mergeCell ref="B30:H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📖 ИНСТРУКЦИЯ</vt:lpstr>
      <vt:lpstr>🔍 РАЗБОР_ПАКЕТА</vt:lpstr>
      <vt:lpstr>📡 SR_POS_DATA</vt:lpstr>
      <vt:lpstr>📊 SDR_ЗАПИСЬ</vt:lpstr>
      <vt:lpstr>📚 СПРАВОЧНИК</vt:lpstr>
      <vt:lpstr>🛰 SR_EXT_POS_DATA</vt:lpstr>
      <vt:lpstr>🔋 SR_STATE_DATA</vt:lpstr>
      <vt:lpstr>🎛 SR_AD_SENSORS</vt:lpstr>
      <vt:lpstr>🔢 SR_COUNTERS_DATA</vt:lpstr>
      <vt:lpstr>⛽ SR_LIQUID_LEVEL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Tenyakov</cp:lastModifiedBy>
  <cp:revision>0</cp:revision>
  <dcterms:created xsi:type="dcterms:W3CDTF">2026-03-07T13:34:50Z</dcterms:created>
  <dcterms:modified xsi:type="dcterms:W3CDTF">2026-04-07T19:55:19Z</dcterms:modified>
  <dc:language>en-US</dc:language>
</cp:coreProperties>
</file>